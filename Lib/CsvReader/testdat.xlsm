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kimdongho\Desktop\tatat\"/>
    </mc:Choice>
  </mc:AlternateContent>
  <xr:revisionPtr revIDLastSave="0" documentId="13_ncr:1_{C0E8C2BE-81A3-402B-BC76-25359566FCA9}" xr6:coauthVersionLast="47" xr6:coauthVersionMax="47" xr10:uidLastSave="{00000000-0000-0000-0000-000000000000}"/>
  <bookViews>
    <workbookView xWindow="-120" yWindow="-120" windowWidth="29040" windowHeight="15720" tabRatio="844" firstSheet="3" activeTab="3" xr2:uid="{00000000-000D-0000-FFFF-FFFF00000000}"/>
  </bookViews>
  <sheets>
    <sheet name="RouletteRewards" sheetId="23" state="hidden" r:id="rId1"/>
    <sheet name="ShopGold" sheetId="46" state="hidden" r:id="rId2"/>
    <sheet name="ShopPackage" sheetId="45" state="hidden" r:id="rId3"/>
    <sheet name="testData" sheetId="93" r:id="rId4"/>
  </sheets>
  <externalReferences>
    <externalReference r:id="rId5"/>
  </externalReferences>
  <definedNames>
    <definedName name="_xlnm._FilterDatabase" localSheetId="1" hidden="1">ShopGold!$A$8:$D$14</definedName>
    <definedName name="_xlnm._FilterDatabase" localSheetId="2" hidden="1">ShopPackage!$A$8:$E$14</definedName>
    <definedName name="_xlnm._FilterDatabase" localSheetId="3" hidden="1">testData!$A$7:$B$63</definedName>
    <definedName name="_xleta.N" hidden="1" xlm="1">#NAME?</definedName>
    <definedName name="Label" localSheetId="0">RouletteRewards!$A$6</definedName>
    <definedName name="Label" localSheetId="1">ShopGold!$A$7</definedName>
    <definedName name="Label" localSheetId="2">ShopPackage!$A$7</definedName>
    <definedName name="Label" localSheetId="3">testData!$A$6</definedName>
    <definedName name="일반적">[1]경제밸런스!$S$5:$AN$105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93" l="1"/>
  <c r="F16" i="93" s="1"/>
  <c r="F17" i="93" s="1"/>
  <c r="F11" i="93"/>
  <c r="F12" i="93" s="1"/>
  <c r="F13" i="93" s="1"/>
  <c r="D15" i="93"/>
  <c r="D16" i="93" s="1"/>
  <c r="D17" i="93" s="1"/>
  <c r="D13" i="93"/>
  <c r="B15" i="93"/>
  <c r="B16" i="93" s="1"/>
  <c r="B17" i="93" s="1"/>
  <c r="B11" i="93"/>
  <c r="B12" i="93" s="1"/>
  <c r="B13" i="93" s="1"/>
  <c r="C5" i="46" l="1"/>
  <c r="B9" i="45"/>
  <c r="C9" i="45" s="1"/>
  <c r="B14" i="46"/>
  <c r="B13" i="46"/>
  <c r="C13" i="46" s="1"/>
  <c r="B12" i="46"/>
  <c r="B9" i="46"/>
  <c r="B10" i="46"/>
  <c r="B11" i="46"/>
  <c r="C12" i="46" l="1"/>
  <c r="C11" i="46"/>
  <c r="C10" i="46"/>
  <c r="C14" i="46"/>
  <c r="C9" i="46"/>
  <c r="B10" i="45"/>
  <c r="C10" i="45" s="1"/>
  <c r="B11" i="45"/>
  <c r="C11" i="45" s="1"/>
  <c r="B12" i="45"/>
  <c r="C12" i="45" s="1"/>
  <c r="B13" i="45"/>
  <c r="C13" i="45" s="1"/>
  <c r="B14" i="45"/>
  <c r="C14" i="45" s="1"/>
  <c r="A8" i="23" l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Windows 사용자</author>
  </authors>
  <commentList>
    <comment ref="A5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 xml:space="preserve">출력안함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 xml:space="preserve">출력함
</t>
        </r>
      </text>
    </comment>
    <comment ref="B7" authorId="1" shapeId="0" xr:uid="{00000000-0006-0000-0B00-000002000000}">
      <text>
        <r>
          <rPr>
            <b/>
            <sz val="9"/>
            <color indexed="81"/>
            <rFont val="돋움"/>
            <family val="3"/>
            <charset val="129"/>
          </rPr>
          <t>일퀘</t>
        </r>
        <r>
          <rPr>
            <b/>
            <sz val="9"/>
            <color indexed="81"/>
            <rFont val="Tahoma"/>
            <family val="2"/>
          </rPr>
          <t xml:space="preserve">: 1~100
</t>
        </r>
        <r>
          <rPr>
            <b/>
            <sz val="9"/>
            <color indexed="81"/>
            <rFont val="돋움"/>
            <family val="3"/>
            <charset val="129"/>
          </rPr>
          <t>주퀘</t>
        </r>
        <r>
          <rPr>
            <b/>
            <sz val="9"/>
            <color indexed="81"/>
            <rFont val="Tahoma"/>
            <family val="2"/>
          </rPr>
          <t xml:space="preserve">: 101~1000
</t>
        </r>
        <r>
          <rPr>
            <b/>
            <sz val="9"/>
            <color indexed="81"/>
            <rFont val="돋움"/>
            <family val="3"/>
            <charset val="129"/>
          </rPr>
          <t>업적</t>
        </r>
        <r>
          <rPr>
            <b/>
            <sz val="9"/>
            <color indexed="81"/>
            <rFont val="Tahoma"/>
            <family val="2"/>
          </rPr>
          <t>: 1001~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1" shapeId="0" xr:uid="{00000000-0006-0000-0B00-000003000000}">
      <text>
        <r>
          <rPr>
            <b/>
            <sz val="9"/>
            <color indexed="81"/>
            <rFont val="Tahoma"/>
            <family val="2"/>
          </rPr>
          <t xml:space="preserve">Daily: </t>
        </r>
        <r>
          <rPr>
            <b/>
            <sz val="9"/>
            <color indexed="81"/>
            <rFont val="돋움"/>
            <family val="3"/>
            <charset val="129"/>
          </rPr>
          <t xml:space="preserve">일퀘
</t>
        </r>
        <r>
          <rPr>
            <b/>
            <sz val="9"/>
            <color indexed="81"/>
            <rFont val="Tahoma"/>
            <family val="2"/>
          </rPr>
          <t xml:space="preserve">Weekly: </t>
        </r>
        <r>
          <rPr>
            <b/>
            <sz val="9"/>
            <color indexed="81"/>
            <rFont val="돋움"/>
            <family val="3"/>
            <charset val="129"/>
          </rPr>
          <t xml:space="preserve">주퀘
</t>
        </r>
        <r>
          <rPr>
            <b/>
            <sz val="9"/>
            <color indexed="81"/>
            <rFont val="Tahoma"/>
            <family val="2"/>
          </rPr>
          <t xml:space="preserve">Achievement: </t>
        </r>
        <r>
          <rPr>
            <b/>
            <sz val="9"/>
            <color indexed="81"/>
            <rFont val="돋움"/>
            <family val="3"/>
            <charset val="129"/>
          </rPr>
          <t>업적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NHS</author>
  </authors>
  <commentList>
    <comment ref="A6" authorId="0" shapeId="0" xr:uid="{756DA522-F815-4654-8CFD-22B275F063BA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 xml:space="preserve">출력안함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 xml:space="preserve">출력함
</t>
        </r>
      </text>
    </comment>
    <comment ref="B8" authorId="1" shapeId="0" xr:uid="{0AF031EF-F75B-4DA6-86F1-35D806C72188}">
      <text>
        <r>
          <rPr>
            <b/>
            <sz val="9"/>
            <color indexed="81"/>
            <rFont val="Tahoma"/>
            <family val="2"/>
          </rPr>
          <t xml:space="preserve">NHS:
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안하고</t>
        </r>
        <r>
          <rPr>
            <b/>
            <sz val="9"/>
            <color indexed="81"/>
            <rFont val="Tahoma"/>
            <family val="2"/>
          </rPr>
          <t xml:space="preserve">, Goods 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받아옴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NHS</author>
  </authors>
  <commentList>
    <comment ref="A6" authorId="0" shapeId="0" xr:uid="{104204FD-CE58-4068-862D-347BD002C452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 xml:space="preserve">출력안함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 xml:space="preserve">출력함
</t>
        </r>
      </text>
    </comment>
    <comment ref="B8" authorId="1" shapeId="0" xr:uid="{F8054805-8EBA-42F3-9FDA-C048E97B5D1C}">
      <text>
        <r>
          <rPr>
            <b/>
            <sz val="9"/>
            <color indexed="81"/>
            <rFont val="Tahoma"/>
            <family val="2"/>
          </rPr>
          <t xml:space="preserve">NHS:
</t>
        </r>
        <r>
          <rPr>
            <b/>
            <sz val="9"/>
            <color indexed="81"/>
            <rFont val="돋움"/>
            <family val="3"/>
            <charset val="129"/>
          </rPr>
          <t>따로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안하고</t>
        </r>
        <r>
          <rPr>
            <b/>
            <sz val="9"/>
            <color indexed="81"/>
            <rFont val="Tahoma"/>
            <family val="2"/>
          </rPr>
          <t xml:space="preserve">, Goods 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받아옴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5" authorId="0" shapeId="0" xr:uid="{CF93A727-3951-4214-9CB5-2AFFB7C5B585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 xml:space="preserve">출력안함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 xml:space="preserve">출력함
</t>
        </r>
      </text>
    </comment>
  </commentList>
</comments>
</file>

<file path=xl/sharedStrings.xml><?xml version="1.0" encoding="utf-8"?>
<sst xmlns="http://schemas.openxmlformats.org/spreadsheetml/2006/main" count="123" uniqueCount="83">
  <si>
    <t>사용</t>
  </si>
  <si>
    <t>Label</t>
    <phoneticPr fontId="2" type="noConversion"/>
  </si>
  <si>
    <t>Gold</t>
  </si>
  <si>
    <t>Step</t>
  </si>
  <si>
    <t>Items</t>
  </si>
  <si>
    <t>Amount</t>
  </si>
  <si>
    <t>Drill</t>
  </si>
  <si>
    <t>Gloves</t>
  </si>
  <si>
    <t>Bomb</t>
  </si>
  <si>
    <t>Suffle</t>
  </si>
  <si>
    <t>b_Rainbow</t>
  </si>
  <si>
    <t>b_Bomb</t>
  </si>
  <si>
    <t>Hammer</t>
  </si>
  <si>
    <t>${"ChestLock01", "Gold": 200, "Hammer": 2, "Bomb": 1}</t>
  </si>
  <si>
    <t>b_Drill</t>
  </si>
  <si>
    <t>b_Missile</t>
  </si>
  <si>
    <t>${"ChestLock02", "Gold": 500, "Drill": 1, "Bomb": 1, "Suffle": 1, "Gloves": 1}</t>
  </si>
  <si>
    <t>$["ChestLock00", "Gold": 100, "b_Missile": 1,"b_Bomb": 1]</t>
    <phoneticPr fontId="14" type="noConversion"/>
  </si>
  <si>
    <t>${"ChestLock00", "Gold": 100, "b_Missile": 2, "b_Drill": 2}</t>
    <phoneticPr fontId="14" type="noConversion"/>
  </si>
  <si>
    <t>열1</t>
  </si>
  <si>
    <t>열2</t>
  </si>
  <si>
    <t>열3</t>
  </si>
  <si>
    <t>열4</t>
  </si>
  <si>
    <t>열6</t>
  </si>
  <si>
    <t>열22</t>
  </si>
  <si>
    <t>패키지이름</t>
  </si>
  <si>
    <t>"패키지이름"</t>
    <phoneticPr fontId="2" type="noConversion"/>
  </si>
  <si>
    <t>"ProductID"</t>
    <phoneticPr fontId="2" type="noConversion"/>
  </si>
  <si>
    <t>"${"boosterMissile": 2, "boosterDrill": 2, "boosterBomb": 2, "boosterRainbow": 2, "itemHammer": 0, "itemBomb": 0, "itemCrossdrill": 0, "itemPinwheel": 0, "itemGlove": 0}"</t>
    <phoneticPr fontId="2" type="noConversion"/>
  </si>
  <si>
    <t>"${"boosterMissile": 6, "boosterDrill": 6, "boosterBomb": 6, "boosterRainbow": 6, "itemHammer": 0, "itemBomb": 0, "itemCrossdrill": 0, "itemPinwheel": 0, "itemGlove": 0}"</t>
    <phoneticPr fontId="2" type="noConversion"/>
  </si>
  <si>
    <t>"${"boosterMissile": 2, "boosterDrill": 2, "boosterBomb": 2, "boosterRainbow": 2, "itemHammer": 2, "itemBomb": 2, "itemCrossdrill": 2, "itemPinwheel": 2, "itemGlove": 2}"</t>
    <phoneticPr fontId="2" type="noConversion"/>
  </si>
  <si>
    <t>"${"boosterMissile": 7, "boosterDrill": 7, "boosterBomb": 7, "boosterRainbow": 7, "itemHammer": 4, "itemBomb": 4, "itemCrossdrill": 4, "itemPinwheel": 4, "itemGlove": 4}"</t>
    <phoneticPr fontId="2" type="noConversion"/>
  </si>
  <si>
    <t>"${"boosterMissile": 10, "boosterDrill": 10, "boosterBomb": 10, "boosterRainbow": 10, "itemHammer": 7, "itemBomb": 7, "itemCrossdrill": 7, "itemPinwheel": 7, "itemGlove": 7}"</t>
    <phoneticPr fontId="2" type="noConversion"/>
  </si>
  <si>
    <t>"${"boosterMissile": 15, "boosterDrill": 15, "boosterBomb": 15, "boosterRainbow": 15, "itemHammer": 10, "itemBomb": 10, "itemCrossdrill": 10, "itemPinwheel": 10, "itemGlove": 10}"</t>
    <phoneticPr fontId="2" type="noConversion"/>
  </si>
  <si>
    <t>"Package_0"</t>
    <phoneticPr fontId="2" type="noConversion"/>
  </si>
  <si>
    <t>"Package_1"</t>
    <phoneticPr fontId="2" type="noConversion"/>
  </si>
  <si>
    <t>"Package_2"</t>
    <phoneticPr fontId="2" type="noConversion"/>
  </si>
  <si>
    <t>"Package_3"</t>
    <phoneticPr fontId="2" type="noConversion"/>
  </si>
  <si>
    <t>"Package_4"</t>
    <phoneticPr fontId="2" type="noConversion"/>
  </si>
  <si>
    <t>"Package_5"</t>
    <phoneticPr fontId="2" type="noConversion"/>
  </si>
  <si>
    <t>상품이름</t>
    <phoneticPr fontId="2" type="noConversion"/>
  </si>
  <si>
    <t>"Image"</t>
    <phoneticPr fontId="2" type="noConversion"/>
  </si>
  <si>
    <t>"Gold"</t>
    <phoneticPr fontId="2" type="noConversion"/>
  </si>
  <si>
    <t>아이템내용</t>
    <phoneticPr fontId="2" type="noConversion"/>
  </si>
  <si>
    <t>골드량</t>
    <phoneticPr fontId="2" type="noConversion"/>
  </si>
  <si>
    <t>제품ID</t>
    <phoneticPr fontId="2" type="noConversion"/>
  </si>
  <si>
    <t>이미지</t>
    <phoneticPr fontId="2" type="noConversion"/>
  </si>
  <si>
    <t>"Item"</t>
    <phoneticPr fontId="2" type="noConversion"/>
  </si>
  <si>
    <t>골드량</t>
    <phoneticPr fontId="2" type="noConversion"/>
  </si>
  <si>
    <t>제품ID</t>
    <phoneticPr fontId="2" type="noConversion"/>
  </si>
  <si>
    <t>"Gold_0"</t>
    <phoneticPr fontId="2" type="noConversion"/>
  </si>
  <si>
    <t>"Gold_1"</t>
  </si>
  <si>
    <t>"Gold_2"</t>
  </si>
  <si>
    <t>열33</t>
  </si>
  <si>
    <t>열34</t>
  </si>
  <si>
    <t>열2</t>
    <phoneticPr fontId="2" type="noConversion"/>
  </si>
  <si>
    <t>열3</t>
    <phoneticPr fontId="2" type="noConversion"/>
  </si>
  <si>
    <t>열4</t>
    <phoneticPr fontId="2" type="noConversion"/>
  </si>
  <si>
    <t>열5</t>
    <phoneticPr fontId="2" type="noConversion"/>
  </si>
  <si>
    <t>열6</t>
    <phoneticPr fontId="2" type="noConversion"/>
  </si>
  <si>
    <t>열7</t>
    <phoneticPr fontId="2" type="noConversion"/>
  </si>
  <si>
    <t>ALCHEMY</t>
    <phoneticPr fontId="2" type="noConversion"/>
  </si>
  <si>
    <t>SYNTHESIS</t>
    <phoneticPr fontId="2" type="noConversion"/>
  </si>
  <si>
    <t>CRAFTING</t>
    <phoneticPr fontId="2" type="noConversion"/>
  </si>
  <si>
    <t>FORGING</t>
    <phoneticPr fontId="2" type="noConversion"/>
  </si>
  <si>
    <t>120001_2 120002_1</t>
    <phoneticPr fontId="2" type="noConversion"/>
  </si>
  <si>
    <t>120001_2 120002_2</t>
    <phoneticPr fontId="2" type="noConversion"/>
  </si>
  <si>
    <t>120001_3 121001_1</t>
    <phoneticPr fontId="2" type="noConversion"/>
  </si>
  <si>
    <t>100001_50</t>
    <phoneticPr fontId="2" type="noConversion"/>
  </si>
  <si>
    <t>100001_100</t>
    <phoneticPr fontId="2" type="noConversion"/>
  </si>
  <si>
    <t>100001_200</t>
    <phoneticPr fontId="2" type="noConversion"/>
  </si>
  <si>
    <t>100001_400</t>
    <phoneticPr fontId="2" type="noConversion"/>
  </si>
  <si>
    <t>test1</t>
  </si>
  <si>
    <t>test1</t>
    <phoneticPr fontId="2" type="noConversion"/>
  </si>
  <si>
    <t>test2</t>
  </si>
  <si>
    <t>test2</t>
    <phoneticPr fontId="2" type="noConversion"/>
  </si>
  <si>
    <t>test3</t>
  </si>
  <si>
    <t>test3</t>
    <phoneticPr fontId="2" type="noConversion"/>
  </si>
  <si>
    <t>test4</t>
  </si>
  <si>
    <t>test4</t>
    <phoneticPr fontId="2" type="noConversion"/>
  </si>
  <si>
    <t>test5</t>
  </si>
  <si>
    <t>test5</t>
    <phoneticPr fontId="2" type="noConversion"/>
  </si>
  <si>
    <t>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</si>
</sst>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8"/>
      <color theme="1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2"/>
      <scheme val="minor"/>
    </font>
    <font>
      <b/>
      <sz val="8"/>
      <color theme="1"/>
      <name val="맑은 고딕"/>
      <family val="2"/>
      <scheme val="minor"/>
    </font>
    <font>
      <sz val="8"/>
      <color theme="0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8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8"/>
      <name val="맑은 고딕"/>
      <family val="2"/>
      <charset val="129"/>
      <scheme val="minor"/>
    </font>
    <font>
      <sz val="8"/>
      <color rgb="FF000000"/>
      <name val="맑은 고딕"/>
      <family val="2"/>
    </font>
    <font>
      <sz val="8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5" fillId="0" borderId="0" xfId="0" applyFont="1" applyAlignment="1">
      <alignment vertical="center"/>
    </xf>
    <xf numFmtId="0" fontId="7" fillId="2" borderId="1" xfId="0" applyFont="1" applyFill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 vertical="center"/>
    </xf>
    <xf numFmtId="0" fontId="7" fillId="6" borderId="4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7" fillId="5" borderId="0" xfId="0" applyFont="1" applyFill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/>
    </xf>
  </cellXfs>
  <cellStyles count="7">
    <cellStyle name="쉼표 [0] 2" xfId="2" xr:uid="{00000000-0005-0000-0000-000001000000}"/>
    <cellStyle name="쉼표 [0] 2 2" xfId="6" xr:uid="{00000000-0005-0000-0000-000002000000}"/>
    <cellStyle name="쉼표 [0] 3" xfId="5" xr:uid="{00000000-0005-0000-0000-000003000000}"/>
    <cellStyle name="표준" xfId="0" builtinId="0"/>
    <cellStyle name="표준 2" xfId="1" xr:uid="{00000000-0005-0000-0000-000005000000}"/>
    <cellStyle name="표준 3" xfId="4" xr:uid="{00000000-0005-0000-0000-000006000000}"/>
    <cellStyle name="표준 4" xfId="3" xr:uid="{00000000-0005-0000-0000-000007000000}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맑은 고딕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맑은 고딕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3"/>
        <charset val="129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맑은 고딕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맑은 고딕"/>
        <family val="2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맑은 고딕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맑은 고딕"/>
        <family val="2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맑은 고딕"/>
        <family val="2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맑은 고딕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CB4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142874</xdr:rowOff>
    </xdr:from>
    <xdr:to>
      <xdr:col>2</xdr:col>
      <xdr:colOff>666750</xdr:colOff>
      <xdr:row>2</xdr:row>
      <xdr:rowOff>485773</xdr:rowOff>
    </xdr:to>
    <xdr:sp macro="[0]!ExportCSV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525" y="428624"/>
          <a:ext cx="1371600" cy="34289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altLang="ko-KR" sz="1100" b="1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 CSV</a:t>
          </a:r>
          <a:endParaRPr lang="ko-KR" altLang="en-US" sz="1100" b="1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142874</xdr:rowOff>
    </xdr:from>
    <xdr:to>
      <xdr:col>4</xdr:col>
      <xdr:colOff>0</xdr:colOff>
      <xdr:row>2</xdr:row>
      <xdr:rowOff>485773</xdr:rowOff>
    </xdr:to>
    <xdr:sp macro="[0]!ExportCSV" textlink="">
      <xdr:nvSpPr>
        <xdr:cNvPr id="2" name="직사각형 1">
          <a:extLst>
            <a:ext uri="{FF2B5EF4-FFF2-40B4-BE49-F238E27FC236}">
              <a16:creationId xmlns:a16="http://schemas.microsoft.com/office/drawing/2014/main" id="{1C6F388C-A747-4F1A-9395-7DAD5C3B91A5}"/>
            </a:ext>
          </a:extLst>
        </xdr:cNvPr>
        <xdr:cNvSpPr/>
      </xdr:nvSpPr>
      <xdr:spPr>
        <a:xfrm>
          <a:off x="0" y="428624"/>
          <a:ext cx="2676525" cy="34289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altLang="ko-KR" sz="1100" b="1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 CSV</a:t>
          </a:r>
          <a:endParaRPr lang="ko-KR" altLang="en-US" sz="1100" b="1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142874</xdr:rowOff>
    </xdr:from>
    <xdr:to>
      <xdr:col>4</xdr:col>
      <xdr:colOff>161925</xdr:colOff>
      <xdr:row>2</xdr:row>
      <xdr:rowOff>485773</xdr:rowOff>
    </xdr:to>
    <xdr:sp macro="[0]!ExportCSV" textlink="">
      <xdr:nvSpPr>
        <xdr:cNvPr id="2" name="직사각형 1">
          <a:extLst>
            <a:ext uri="{FF2B5EF4-FFF2-40B4-BE49-F238E27FC236}">
              <a16:creationId xmlns:a16="http://schemas.microsoft.com/office/drawing/2014/main" id="{158BF9C0-DB36-4928-9C69-64F5AEA7CF27}"/>
            </a:ext>
          </a:extLst>
        </xdr:cNvPr>
        <xdr:cNvSpPr/>
      </xdr:nvSpPr>
      <xdr:spPr>
        <a:xfrm>
          <a:off x="0" y="428624"/>
          <a:ext cx="1905000" cy="34289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altLang="ko-KR" sz="1100" b="1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 CSV</a:t>
          </a:r>
          <a:endParaRPr lang="ko-KR" altLang="en-US" sz="1100" b="1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</xdr:col>
      <xdr:colOff>0</xdr:colOff>
      <xdr:row>0</xdr:row>
      <xdr:rowOff>371474</xdr:rowOff>
    </xdr:to>
    <xdr:sp macro="[0]!ExportCSV" textlink="">
      <xdr:nvSpPr>
        <xdr:cNvPr id="2" name="직사각형 1">
          <a:extLst>
            <a:ext uri="{FF2B5EF4-FFF2-40B4-BE49-F238E27FC236}">
              <a16:creationId xmlns:a16="http://schemas.microsoft.com/office/drawing/2014/main" id="{D504D337-D084-427F-AE22-6D956BDFDE71}"/>
            </a:ext>
          </a:extLst>
        </xdr:cNvPr>
        <xdr:cNvSpPr/>
      </xdr:nvSpPr>
      <xdr:spPr>
        <a:xfrm>
          <a:off x="0" y="1"/>
          <a:ext cx="1257300" cy="37147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altLang="ko-KR" sz="1100" b="1" baseline="0">
              <a:effectLst>
                <a:outerShdw blurRad="50800" dist="38100" dir="13500000" algn="br" rotWithShape="0">
                  <a:prstClr val="black">
                    <a:alpha val="40000"/>
                  </a:prstClr>
                </a:outerShdw>
              </a:effectLst>
            </a:rPr>
            <a:t> CSV</a:t>
          </a:r>
          <a:endParaRPr lang="ko-KR" altLang="en-US" sz="1100" b="1">
            <a:effectLst>
              <a:outerShdw blurRad="50800" dist="38100" dir="13500000" algn="b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limjongsoon/Desktop/_Parts_jo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Info"/>
      <sheetName val="Parts정리"/>
      <sheetName val="Parts"/>
      <sheetName val="드롭아이템"/>
      <sheetName val="파츠차등고찰"/>
      <sheetName val="스테이지드롭아이템기준"/>
      <sheetName val="하드스테이지"/>
      <sheetName val="스테지이작업"/>
      <sheetName val="경제밸런스"/>
      <sheetName val="캐릭터"/>
      <sheetName val="탱크"/>
      <sheetName val="재료"/>
      <sheetName val="PartsExp"/>
      <sheetName val="랭크시간"/>
      <sheetName val="스테이지테스트"/>
      <sheetName val="112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S5" t="str">
            <v>구간</v>
          </cell>
          <cell r="T5" t="str">
            <v>킬수</v>
          </cell>
          <cell r="U5" t="str">
            <v>킬수</v>
          </cell>
          <cell r="V5" t="str">
            <v>골드</v>
          </cell>
          <cell r="W5" t="str">
            <v>실버</v>
          </cell>
          <cell r="X5" t="str">
            <v>나무</v>
          </cell>
          <cell r="Y5" t="str">
            <v>최소</v>
          </cell>
          <cell r="Z5" t="str">
            <v>최대</v>
          </cell>
          <cell r="AA5" t="str">
            <v>드롭확률</v>
          </cell>
          <cell r="AB5" t="str">
            <v>기대값</v>
          </cell>
          <cell r="AC5" t="str">
            <v>골드</v>
          </cell>
          <cell r="AD5" t="str">
            <v>최소</v>
          </cell>
          <cell r="AE5" t="str">
            <v>최대</v>
          </cell>
          <cell r="AF5" t="str">
            <v>드롭확률</v>
          </cell>
          <cell r="AG5" t="str">
            <v>기대값</v>
          </cell>
          <cell r="AH5" t="str">
            <v>실버</v>
          </cell>
          <cell r="AI5" t="str">
            <v>최소</v>
          </cell>
          <cell r="AJ5" t="str">
            <v>최대</v>
          </cell>
          <cell r="AK5" t="str">
            <v>드롭확률</v>
          </cell>
          <cell r="AL5" t="str">
            <v>기대값</v>
          </cell>
          <cell r="AM5" t="str">
            <v>나무</v>
          </cell>
          <cell r="AN5" t="str">
            <v>합계</v>
          </cell>
        </row>
        <row r="6">
          <cell r="S6">
            <v>1</v>
          </cell>
          <cell r="T6">
            <v>2</v>
          </cell>
          <cell r="U6">
            <v>30</v>
          </cell>
          <cell r="V6">
            <v>1.5</v>
          </cell>
          <cell r="W6">
            <v>4.5</v>
          </cell>
          <cell r="X6">
            <v>9</v>
          </cell>
          <cell r="Y6">
            <v>90</v>
          </cell>
          <cell r="Z6">
            <v>180</v>
          </cell>
          <cell r="AA6">
            <v>0.25</v>
          </cell>
          <cell r="AB6">
            <v>33.75</v>
          </cell>
          <cell r="AC6">
            <v>50.625</v>
          </cell>
          <cell r="AD6">
            <v>45</v>
          </cell>
          <cell r="AE6">
            <v>90</v>
          </cell>
          <cell r="AF6">
            <v>0.3</v>
          </cell>
          <cell r="AG6">
            <v>20.25</v>
          </cell>
          <cell r="AH6">
            <v>91.125</v>
          </cell>
          <cell r="AI6">
            <v>23</v>
          </cell>
          <cell r="AJ6">
            <v>45</v>
          </cell>
          <cell r="AK6">
            <v>0.5</v>
          </cell>
          <cell r="AL6">
            <v>17</v>
          </cell>
          <cell r="AM6">
            <v>153</v>
          </cell>
          <cell r="AN6">
            <v>294.75</v>
          </cell>
        </row>
        <row r="7">
          <cell r="S7">
            <v>2</v>
          </cell>
          <cell r="T7">
            <v>6</v>
          </cell>
          <cell r="U7">
            <v>30</v>
          </cell>
          <cell r="V7">
            <v>1.5</v>
          </cell>
          <cell r="W7">
            <v>4.5</v>
          </cell>
          <cell r="X7">
            <v>9</v>
          </cell>
          <cell r="Y7">
            <v>110</v>
          </cell>
          <cell r="Z7">
            <v>210</v>
          </cell>
          <cell r="AA7">
            <v>0.25</v>
          </cell>
          <cell r="AB7">
            <v>40</v>
          </cell>
          <cell r="AC7">
            <v>60</v>
          </cell>
          <cell r="AD7">
            <v>55</v>
          </cell>
          <cell r="AE7">
            <v>105</v>
          </cell>
          <cell r="AF7">
            <v>0.3</v>
          </cell>
          <cell r="AG7">
            <v>24</v>
          </cell>
          <cell r="AH7">
            <v>108</v>
          </cell>
          <cell r="AI7">
            <v>28</v>
          </cell>
          <cell r="AJ7">
            <v>53</v>
          </cell>
          <cell r="AK7">
            <v>0.5</v>
          </cell>
          <cell r="AL7">
            <v>20.25</v>
          </cell>
          <cell r="AM7">
            <v>182.25</v>
          </cell>
          <cell r="AN7">
            <v>350.25</v>
          </cell>
        </row>
        <row r="8">
          <cell r="S8">
            <v>3</v>
          </cell>
          <cell r="T8">
            <v>8</v>
          </cell>
          <cell r="U8">
            <v>30</v>
          </cell>
          <cell r="V8">
            <v>1.5</v>
          </cell>
          <cell r="W8">
            <v>4.5</v>
          </cell>
          <cell r="X8">
            <v>9</v>
          </cell>
          <cell r="Y8">
            <v>120</v>
          </cell>
          <cell r="Z8">
            <v>240</v>
          </cell>
          <cell r="AA8">
            <v>0.25</v>
          </cell>
          <cell r="AB8">
            <v>45</v>
          </cell>
          <cell r="AC8">
            <v>67.5</v>
          </cell>
          <cell r="AD8">
            <v>60</v>
          </cell>
          <cell r="AE8">
            <v>120</v>
          </cell>
          <cell r="AF8">
            <v>0.3</v>
          </cell>
          <cell r="AG8">
            <v>27</v>
          </cell>
          <cell r="AH8">
            <v>121.5</v>
          </cell>
          <cell r="AI8">
            <v>30</v>
          </cell>
          <cell r="AJ8">
            <v>60</v>
          </cell>
          <cell r="AK8">
            <v>0.5</v>
          </cell>
          <cell r="AL8">
            <v>22.5</v>
          </cell>
          <cell r="AM8">
            <v>202.5</v>
          </cell>
          <cell r="AN8">
            <v>391.5</v>
          </cell>
        </row>
        <row r="9">
          <cell r="S9">
            <v>4</v>
          </cell>
          <cell r="T9">
            <v>16</v>
          </cell>
          <cell r="U9">
            <v>30</v>
          </cell>
          <cell r="V9">
            <v>1.5</v>
          </cell>
          <cell r="W9">
            <v>4.5</v>
          </cell>
          <cell r="X9">
            <v>9</v>
          </cell>
          <cell r="Y9">
            <v>140</v>
          </cell>
          <cell r="Z9">
            <v>270</v>
          </cell>
          <cell r="AA9">
            <v>0.25</v>
          </cell>
          <cell r="AB9">
            <v>51.25</v>
          </cell>
          <cell r="AC9">
            <v>76.875</v>
          </cell>
          <cell r="AD9">
            <v>70</v>
          </cell>
          <cell r="AE9">
            <v>135</v>
          </cell>
          <cell r="AF9">
            <v>0.3</v>
          </cell>
          <cell r="AG9">
            <v>30.75</v>
          </cell>
          <cell r="AH9">
            <v>138.375</v>
          </cell>
          <cell r="AI9">
            <v>35</v>
          </cell>
          <cell r="AJ9">
            <v>68</v>
          </cell>
          <cell r="AK9">
            <v>0.5</v>
          </cell>
          <cell r="AL9">
            <v>25.75</v>
          </cell>
          <cell r="AM9">
            <v>231.75</v>
          </cell>
          <cell r="AN9">
            <v>447</v>
          </cell>
        </row>
        <row r="10">
          <cell r="S10">
            <v>5</v>
          </cell>
          <cell r="T10">
            <v>12</v>
          </cell>
          <cell r="U10">
            <v>30</v>
          </cell>
          <cell r="V10">
            <v>1.5</v>
          </cell>
          <cell r="W10">
            <v>4.5</v>
          </cell>
          <cell r="X10">
            <v>9</v>
          </cell>
          <cell r="Y10">
            <v>150</v>
          </cell>
          <cell r="Z10">
            <v>300</v>
          </cell>
          <cell r="AA10">
            <v>0.25</v>
          </cell>
          <cell r="AB10">
            <v>56.25</v>
          </cell>
          <cell r="AC10">
            <v>84.375</v>
          </cell>
          <cell r="AD10">
            <v>75</v>
          </cell>
          <cell r="AE10">
            <v>150</v>
          </cell>
          <cell r="AF10">
            <v>0.3</v>
          </cell>
          <cell r="AG10">
            <v>33.75</v>
          </cell>
          <cell r="AH10">
            <v>151.875</v>
          </cell>
          <cell r="AI10">
            <v>38</v>
          </cell>
          <cell r="AJ10">
            <v>75</v>
          </cell>
          <cell r="AK10">
            <v>0.5</v>
          </cell>
          <cell r="AL10">
            <v>28.25</v>
          </cell>
          <cell r="AM10">
            <v>254.25</v>
          </cell>
          <cell r="AN10">
            <v>490.5</v>
          </cell>
        </row>
        <row r="11">
          <cell r="S11">
            <v>6</v>
          </cell>
          <cell r="T11">
            <v>60</v>
          </cell>
          <cell r="U11">
            <v>30</v>
          </cell>
          <cell r="V11">
            <v>1.5</v>
          </cell>
          <cell r="W11">
            <v>4.5</v>
          </cell>
          <cell r="X11">
            <v>9</v>
          </cell>
          <cell r="Y11">
            <v>170</v>
          </cell>
          <cell r="Z11">
            <v>330</v>
          </cell>
          <cell r="AA11">
            <v>0.25</v>
          </cell>
          <cell r="AB11">
            <v>62.5</v>
          </cell>
          <cell r="AC11">
            <v>93.75</v>
          </cell>
          <cell r="AD11">
            <v>85</v>
          </cell>
          <cell r="AE11">
            <v>165</v>
          </cell>
          <cell r="AF11">
            <v>0.3</v>
          </cell>
          <cell r="AG11">
            <v>37.5</v>
          </cell>
          <cell r="AH11">
            <v>168.75</v>
          </cell>
          <cell r="AI11">
            <v>43</v>
          </cell>
          <cell r="AJ11">
            <v>83</v>
          </cell>
          <cell r="AK11">
            <v>0.5</v>
          </cell>
          <cell r="AL11">
            <v>31.5</v>
          </cell>
          <cell r="AM11">
            <v>283.5</v>
          </cell>
          <cell r="AN11">
            <v>546</v>
          </cell>
        </row>
        <row r="12">
          <cell r="S12">
            <v>7</v>
          </cell>
          <cell r="T12">
            <v>23</v>
          </cell>
          <cell r="U12">
            <v>30</v>
          </cell>
          <cell r="V12">
            <v>1.5</v>
          </cell>
          <cell r="W12">
            <v>4.5</v>
          </cell>
          <cell r="X12">
            <v>9</v>
          </cell>
          <cell r="Y12">
            <v>180</v>
          </cell>
          <cell r="Z12">
            <v>360</v>
          </cell>
          <cell r="AA12">
            <v>0.25</v>
          </cell>
          <cell r="AB12">
            <v>67.5</v>
          </cell>
          <cell r="AC12">
            <v>101.25</v>
          </cell>
          <cell r="AD12">
            <v>90</v>
          </cell>
          <cell r="AE12">
            <v>180</v>
          </cell>
          <cell r="AF12">
            <v>0.3</v>
          </cell>
          <cell r="AG12">
            <v>40.5</v>
          </cell>
          <cell r="AH12">
            <v>182.25</v>
          </cell>
          <cell r="AI12">
            <v>45</v>
          </cell>
          <cell r="AJ12">
            <v>90</v>
          </cell>
          <cell r="AK12">
            <v>0.5</v>
          </cell>
          <cell r="AL12">
            <v>33.75</v>
          </cell>
          <cell r="AM12">
            <v>303.75</v>
          </cell>
          <cell r="AN12">
            <v>587.25</v>
          </cell>
        </row>
        <row r="13">
          <cell r="S13">
            <v>8</v>
          </cell>
          <cell r="T13">
            <v>27</v>
          </cell>
          <cell r="U13">
            <v>30</v>
          </cell>
          <cell r="V13">
            <v>1.5</v>
          </cell>
          <cell r="W13">
            <v>4.5</v>
          </cell>
          <cell r="X13">
            <v>9</v>
          </cell>
          <cell r="Y13">
            <v>200</v>
          </cell>
          <cell r="Z13">
            <v>390</v>
          </cell>
          <cell r="AA13">
            <v>0.25</v>
          </cell>
          <cell r="AB13">
            <v>73.75</v>
          </cell>
          <cell r="AC13">
            <v>110.625</v>
          </cell>
          <cell r="AD13">
            <v>100</v>
          </cell>
          <cell r="AE13">
            <v>195</v>
          </cell>
          <cell r="AF13">
            <v>0.3</v>
          </cell>
          <cell r="AG13">
            <v>44.25</v>
          </cell>
          <cell r="AH13">
            <v>199.125</v>
          </cell>
          <cell r="AI13">
            <v>50</v>
          </cell>
          <cell r="AJ13">
            <v>98</v>
          </cell>
          <cell r="AK13">
            <v>0.5</v>
          </cell>
          <cell r="AL13">
            <v>37</v>
          </cell>
          <cell r="AM13">
            <v>333</v>
          </cell>
          <cell r="AN13">
            <v>642.75</v>
          </cell>
        </row>
        <row r="14">
          <cell r="S14">
            <v>9</v>
          </cell>
          <cell r="T14">
            <v>19</v>
          </cell>
          <cell r="U14">
            <v>30</v>
          </cell>
          <cell r="V14">
            <v>1.5</v>
          </cell>
          <cell r="W14">
            <v>4.5</v>
          </cell>
          <cell r="X14">
            <v>9</v>
          </cell>
          <cell r="Y14">
            <v>210</v>
          </cell>
          <cell r="Z14">
            <v>420</v>
          </cell>
          <cell r="AA14">
            <v>0.25</v>
          </cell>
          <cell r="AB14">
            <v>78.75</v>
          </cell>
          <cell r="AC14">
            <v>118.125</v>
          </cell>
          <cell r="AD14">
            <v>105</v>
          </cell>
          <cell r="AE14">
            <v>210</v>
          </cell>
          <cell r="AF14">
            <v>0.3</v>
          </cell>
          <cell r="AG14">
            <v>47.25</v>
          </cell>
          <cell r="AH14">
            <v>212.625</v>
          </cell>
          <cell r="AI14">
            <v>53</v>
          </cell>
          <cell r="AJ14">
            <v>105</v>
          </cell>
          <cell r="AK14">
            <v>0.5</v>
          </cell>
          <cell r="AL14">
            <v>39.5</v>
          </cell>
          <cell r="AM14">
            <v>355.5</v>
          </cell>
          <cell r="AN14">
            <v>686.25</v>
          </cell>
        </row>
        <row r="15">
          <cell r="S15">
            <v>10</v>
          </cell>
          <cell r="T15">
            <v>57</v>
          </cell>
          <cell r="U15">
            <v>30</v>
          </cell>
          <cell r="V15">
            <v>1.5</v>
          </cell>
          <cell r="W15">
            <v>4.5</v>
          </cell>
          <cell r="X15">
            <v>9</v>
          </cell>
          <cell r="Y15">
            <v>230</v>
          </cell>
          <cell r="Z15">
            <v>450</v>
          </cell>
          <cell r="AA15">
            <v>0.25</v>
          </cell>
          <cell r="AB15">
            <v>85</v>
          </cell>
          <cell r="AC15">
            <v>127.5</v>
          </cell>
          <cell r="AD15">
            <v>115</v>
          </cell>
          <cell r="AE15">
            <v>225</v>
          </cell>
          <cell r="AF15">
            <v>0.3</v>
          </cell>
          <cell r="AG15">
            <v>51</v>
          </cell>
          <cell r="AH15">
            <v>229.5</v>
          </cell>
          <cell r="AI15">
            <v>58</v>
          </cell>
          <cell r="AJ15">
            <v>113</v>
          </cell>
          <cell r="AK15">
            <v>0.5</v>
          </cell>
          <cell r="AL15">
            <v>42.75</v>
          </cell>
          <cell r="AM15">
            <v>384.75</v>
          </cell>
          <cell r="AN15">
            <v>741.75</v>
          </cell>
        </row>
        <row r="16">
          <cell r="S16">
            <v>11</v>
          </cell>
          <cell r="T16">
            <v>21</v>
          </cell>
          <cell r="U16">
            <v>30</v>
          </cell>
          <cell r="V16">
            <v>1.5</v>
          </cell>
          <cell r="W16">
            <v>4.5</v>
          </cell>
          <cell r="X16">
            <v>9</v>
          </cell>
          <cell r="Y16">
            <v>240</v>
          </cell>
          <cell r="Z16">
            <v>480</v>
          </cell>
          <cell r="AA16">
            <v>0.25</v>
          </cell>
          <cell r="AB16">
            <v>90</v>
          </cell>
          <cell r="AC16">
            <v>135</v>
          </cell>
          <cell r="AD16">
            <v>120</v>
          </cell>
          <cell r="AE16">
            <v>240</v>
          </cell>
          <cell r="AF16">
            <v>0.3</v>
          </cell>
          <cell r="AG16">
            <v>54</v>
          </cell>
          <cell r="AH16">
            <v>243</v>
          </cell>
          <cell r="AI16">
            <v>60</v>
          </cell>
          <cell r="AJ16">
            <v>120</v>
          </cell>
          <cell r="AK16">
            <v>0.5</v>
          </cell>
          <cell r="AL16">
            <v>45</v>
          </cell>
          <cell r="AM16">
            <v>405</v>
          </cell>
          <cell r="AN16">
            <v>783</v>
          </cell>
        </row>
        <row r="17">
          <cell r="S17">
            <v>12</v>
          </cell>
          <cell r="T17">
            <v>27</v>
          </cell>
          <cell r="U17">
            <v>30</v>
          </cell>
          <cell r="V17">
            <v>1.5</v>
          </cell>
          <cell r="W17">
            <v>4.5</v>
          </cell>
          <cell r="X17">
            <v>9</v>
          </cell>
          <cell r="Y17">
            <v>260</v>
          </cell>
          <cell r="Z17">
            <v>510</v>
          </cell>
          <cell r="AA17">
            <v>0.25</v>
          </cell>
          <cell r="AB17">
            <v>96.25</v>
          </cell>
          <cell r="AC17">
            <v>144.375</v>
          </cell>
          <cell r="AD17">
            <v>130</v>
          </cell>
          <cell r="AE17">
            <v>255</v>
          </cell>
          <cell r="AF17">
            <v>0.3</v>
          </cell>
          <cell r="AG17">
            <v>57.75</v>
          </cell>
          <cell r="AH17">
            <v>259.875</v>
          </cell>
          <cell r="AI17">
            <v>65</v>
          </cell>
          <cell r="AJ17">
            <v>128</v>
          </cell>
          <cell r="AK17">
            <v>0.5</v>
          </cell>
          <cell r="AL17">
            <v>48.25</v>
          </cell>
          <cell r="AM17">
            <v>434.25</v>
          </cell>
          <cell r="AN17">
            <v>838.5</v>
          </cell>
        </row>
        <row r="18">
          <cell r="S18">
            <v>13</v>
          </cell>
          <cell r="T18">
            <v>27</v>
          </cell>
          <cell r="U18">
            <v>30</v>
          </cell>
          <cell r="V18">
            <v>1.5</v>
          </cell>
          <cell r="W18">
            <v>4.5</v>
          </cell>
          <cell r="X18">
            <v>9</v>
          </cell>
          <cell r="Y18">
            <v>270</v>
          </cell>
          <cell r="Z18">
            <v>540</v>
          </cell>
          <cell r="AA18">
            <v>0.25</v>
          </cell>
          <cell r="AB18">
            <v>101.25</v>
          </cell>
          <cell r="AC18">
            <v>151.875</v>
          </cell>
          <cell r="AD18">
            <v>135</v>
          </cell>
          <cell r="AE18">
            <v>270</v>
          </cell>
          <cell r="AF18">
            <v>0.3</v>
          </cell>
          <cell r="AG18">
            <v>60.75</v>
          </cell>
          <cell r="AH18">
            <v>273.375</v>
          </cell>
          <cell r="AI18">
            <v>68</v>
          </cell>
          <cell r="AJ18">
            <v>135</v>
          </cell>
          <cell r="AK18">
            <v>0.5</v>
          </cell>
          <cell r="AL18">
            <v>50.75</v>
          </cell>
          <cell r="AM18">
            <v>456.75</v>
          </cell>
          <cell r="AN18">
            <v>882</v>
          </cell>
        </row>
        <row r="19">
          <cell r="S19">
            <v>14</v>
          </cell>
          <cell r="T19">
            <v>33</v>
          </cell>
          <cell r="U19">
            <v>30</v>
          </cell>
          <cell r="V19">
            <v>1.5</v>
          </cell>
          <cell r="W19">
            <v>4.5</v>
          </cell>
          <cell r="X19">
            <v>9</v>
          </cell>
          <cell r="Y19">
            <v>290</v>
          </cell>
          <cell r="Z19">
            <v>570</v>
          </cell>
          <cell r="AA19">
            <v>0.25</v>
          </cell>
          <cell r="AB19">
            <v>107.5</v>
          </cell>
          <cell r="AC19">
            <v>161.25</v>
          </cell>
          <cell r="AD19">
            <v>145</v>
          </cell>
          <cell r="AE19">
            <v>285</v>
          </cell>
          <cell r="AF19">
            <v>0.3</v>
          </cell>
          <cell r="AG19">
            <v>64.5</v>
          </cell>
          <cell r="AH19">
            <v>290.25</v>
          </cell>
          <cell r="AI19">
            <v>73</v>
          </cell>
          <cell r="AJ19">
            <v>143</v>
          </cell>
          <cell r="AK19">
            <v>0.5</v>
          </cell>
          <cell r="AL19">
            <v>54</v>
          </cell>
          <cell r="AM19">
            <v>486</v>
          </cell>
          <cell r="AN19">
            <v>937.5</v>
          </cell>
        </row>
        <row r="20">
          <cell r="S20">
            <v>15</v>
          </cell>
          <cell r="T20">
            <v>15</v>
          </cell>
          <cell r="U20">
            <v>30</v>
          </cell>
          <cell r="V20">
            <v>1.5</v>
          </cell>
          <cell r="W20">
            <v>4.5</v>
          </cell>
          <cell r="X20">
            <v>9</v>
          </cell>
          <cell r="Y20">
            <v>300</v>
          </cell>
          <cell r="Z20">
            <v>600</v>
          </cell>
          <cell r="AA20">
            <v>0.25</v>
          </cell>
          <cell r="AB20">
            <v>112.5</v>
          </cell>
          <cell r="AC20">
            <v>168.75</v>
          </cell>
          <cell r="AD20">
            <v>150</v>
          </cell>
          <cell r="AE20">
            <v>300</v>
          </cell>
          <cell r="AF20">
            <v>0.3</v>
          </cell>
          <cell r="AG20">
            <v>67.5</v>
          </cell>
          <cell r="AH20">
            <v>303.75</v>
          </cell>
          <cell r="AI20">
            <v>75</v>
          </cell>
          <cell r="AJ20">
            <v>150</v>
          </cell>
          <cell r="AK20">
            <v>0.5</v>
          </cell>
          <cell r="AL20">
            <v>56.25</v>
          </cell>
          <cell r="AM20">
            <v>506.25</v>
          </cell>
          <cell r="AN20">
            <v>978.75</v>
          </cell>
        </row>
        <row r="21">
          <cell r="S21">
            <v>16</v>
          </cell>
          <cell r="T21">
            <v>51</v>
          </cell>
          <cell r="U21">
            <v>30</v>
          </cell>
          <cell r="V21">
            <v>1.5</v>
          </cell>
          <cell r="W21">
            <v>4.5</v>
          </cell>
          <cell r="X21">
            <v>9</v>
          </cell>
          <cell r="Y21">
            <v>320</v>
          </cell>
          <cell r="Z21">
            <v>630</v>
          </cell>
          <cell r="AA21">
            <v>0.25</v>
          </cell>
          <cell r="AB21">
            <v>118.75</v>
          </cell>
          <cell r="AC21">
            <v>178.125</v>
          </cell>
          <cell r="AD21">
            <v>160</v>
          </cell>
          <cell r="AE21">
            <v>315</v>
          </cell>
          <cell r="AF21">
            <v>0.3</v>
          </cell>
          <cell r="AG21">
            <v>71.25</v>
          </cell>
          <cell r="AH21">
            <v>320.625</v>
          </cell>
          <cell r="AI21">
            <v>80</v>
          </cell>
          <cell r="AJ21">
            <v>158</v>
          </cell>
          <cell r="AK21">
            <v>0.5</v>
          </cell>
          <cell r="AL21">
            <v>59.5</v>
          </cell>
          <cell r="AM21">
            <v>535.5</v>
          </cell>
          <cell r="AN21">
            <v>1034.25</v>
          </cell>
        </row>
        <row r="22">
          <cell r="S22">
            <v>17</v>
          </cell>
          <cell r="T22">
            <v>0</v>
          </cell>
          <cell r="U22">
            <v>30</v>
          </cell>
          <cell r="V22">
            <v>1.5</v>
          </cell>
          <cell r="W22">
            <v>4.5</v>
          </cell>
          <cell r="X22">
            <v>9</v>
          </cell>
          <cell r="Y22">
            <v>330</v>
          </cell>
          <cell r="Z22">
            <v>660</v>
          </cell>
          <cell r="AA22">
            <v>0.25</v>
          </cell>
          <cell r="AB22">
            <v>123.75</v>
          </cell>
          <cell r="AC22">
            <v>185.625</v>
          </cell>
          <cell r="AD22">
            <v>165</v>
          </cell>
          <cell r="AE22">
            <v>330</v>
          </cell>
          <cell r="AF22">
            <v>0.3</v>
          </cell>
          <cell r="AG22">
            <v>74.25</v>
          </cell>
          <cell r="AH22">
            <v>334.125</v>
          </cell>
          <cell r="AI22">
            <v>83</v>
          </cell>
          <cell r="AJ22">
            <v>165</v>
          </cell>
          <cell r="AK22">
            <v>0.5</v>
          </cell>
          <cell r="AL22">
            <v>62</v>
          </cell>
          <cell r="AM22">
            <v>558</v>
          </cell>
          <cell r="AN22">
            <v>1077.75</v>
          </cell>
        </row>
        <row r="23">
          <cell r="S23">
            <v>18</v>
          </cell>
          <cell r="T23">
            <v>25</v>
          </cell>
          <cell r="U23">
            <v>30</v>
          </cell>
          <cell r="V23">
            <v>1.5</v>
          </cell>
          <cell r="W23">
            <v>4.5</v>
          </cell>
          <cell r="X23">
            <v>9</v>
          </cell>
          <cell r="Y23">
            <v>350</v>
          </cell>
          <cell r="Z23">
            <v>690</v>
          </cell>
          <cell r="AA23">
            <v>0.25</v>
          </cell>
          <cell r="AB23">
            <v>130</v>
          </cell>
          <cell r="AC23">
            <v>195</v>
          </cell>
          <cell r="AD23">
            <v>175</v>
          </cell>
          <cell r="AE23">
            <v>345</v>
          </cell>
          <cell r="AF23">
            <v>0.3</v>
          </cell>
          <cell r="AG23">
            <v>78</v>
          </cell>
          <cell r="AH23">
            <v>351</v>
          </cell>
          <cell r="AI23">
            <v>88</v>
          </cell>
          <cell r="AJ23">
            <v>173</v>
          </cell>
          <cell r="AK23">
            <v>0.5</v>
          </cell>
          <cell r="AL23">
            <v>65.25</v>
          </cell>
          <cell r="AM23">
            <v>587.25</v>
          </cell>
          <cell r="AN23">
            <v>1133.25</v>
          </cell>
        </row>
        <row r="24">
          <cell r="S24">
            <v>19</v>
          </cell>
          <cell r="T24">
            <v>18</v>
          </cell>
          <cell r="U24">
            <v>30</v>
          </cell>
          <cell r="V24">
            <v>1.5</v>
          </cell>
          <cell r="W24">
            <v>4.5</v>
          </cell>
          <cell r="X24">
            <v>9</v>
          </cell>
          <cell r="Y24">
            <v>360</v>
          </cell>
          <cell r="Z24">
            <v>720</v>
          </cell>
          <cell r="AA24">
            <v>0.25</v>
          </cell>
          <cell r="AB24">
            <v>135</v>
          </cell>
          <cell r="AC24">
            <v>202.5</v>
          </cell>
          <cell r="AD24">
            <v>180</v>
          </cell>
          <cell r="AE24">
            <v>360</v>
          </cell>
          <cell r="AF24">
            <v>0.3</v>
          </cell>
          <cell r="AG24">
            <v>81</v>
          </cell>
          <cell r="AH24">
            <v>364.5</v>
          </cell>
          <cell r="AI24">
            <v>90</v>
          </cell>
          <cell r="AJ24">
            <v>180</v>
          </cell>
          <cell r="AK24">
            <v>0.5</v>
          </cell>
          <cell r="AL24">
            <v>67.5</v>
          </cell>
          <cell r="AM24">
            <v>607.5</v>
          </cell>
          <cell r="AN24">
            <v>1174.5</v>
          </cell>
        </row>
        <row r="25">
          <cell r="S25">
            <v>20</v>
          </cell>
          <cell r="T25">
            <v>42</v>
          </cell>
          <cell r="U25">
            <v>30</v>
          </cell>
          <cell r="V25">
            <v>1.5</v>
          </cell>
          <cell r="W25">
            <v>4.5</v>
          </cell>
          <cell r="X25">
            <v>9</v>
          </cell>
          <cell r="Y25">
            <v>380</v>
          </cell>
          <cell r="Z25">
            <v>750</v>
          </cell>
          <cell r="AA25">
            <v>0.25</v>
          </cell>
          <cell r="AB25">
            <v>141.25</v>
          </cell>
          <cell r="AC25">
            <v>211.875</v>
          </cell>
          <cell r="AD25">
            <v>190</v>
          </cell>
          <cell r="AE25">
            <v>375</v>
          </cell>
          <cell r="AF25">
            <v>0.3</v>
          </cell>
          <cell r="AG25">
            <v>84.75</v>
          </cell>
          <cell r="AH25">
            <v>381.375</v>
          </cell>
          <cell r="AI25">
            <v>95</v>
          </cell>
          <cell r="AJ25">
            <v>188</v>
          </cell>
          <cell r="AK25">
            <v>0.5</v>
          </cell>
          <cell r="AL25">
            <v>70.75</v>
          </cell>
          <cell r="AM25">
            <v>636.75</v>
          </cell>
          <cell r="AN25">
            <v>1230</v>
          </cell>
        </row>
        <row r="26">
          <cell r="S26">
            <v>21</v>
          </cell>
          <cell r="T26">
            <v>24</v>
          </cell>
          <cell r="U26">
            <v>30</v>
          </cell>
          <cell r="V26">
            <v>1.5</v>
          </cell>
          <cell r="W26">
            <v>4.5</v>
          </cell>
          <cell r="X26">
            <v>9</v>
          </cell>
          <cell r="Y26">
            <v>390</v>
          </cell>
          <cell r="Z26">
            <v>780</v>
          </cell>
          <cell r="AA26">
            <v>0.25</v>
          </cell>
          <cell r="AB26">
            <v>146.25</v>
          </cell>
          <cell r="AC26">
            <v>219.375</v>
          </cell>
          <cell r="AD26">
            <v>195</v>
          </cell>
          <cell r="AE26">
            <v>390</v>
          </cell>
          <cell r="AF26">
            <v>0.3</v>
          </cell>
          <cell r="AG26">
            <v>87.75</v>
          </cell>
          <cell r="AH26">
            <v>394.875</v>
          </cell>
          <cell r="AI26">
            <v>98</v>
          </cell>
          <cell r="AJ26">
            <v>195</v>
          </cell>
          <cell r="AK26">
            <v>0.5</v>
          </cell>
          <cell r="AL26">
            <v>73.25</v>
          </cell>
          <cell r="AM26">
            <v>659.25</v>
          </cell>
          <cell r="AN26">
            <v>1273.5</v>
          </cell>
        </row>
        <row r="27">
          <cell r="S27">
            <v>22</v>
          </cell>
          <cell r="T27">
            <v>24</v>
          </cell>
          <cell r="U27">
            <v>30</v>
          </cell>
          <cell r="V27">
            <v>1.5</v>
          </cell>
          <cell r="W27">
            <v>4.5</v>
          </cell>
          <cell r="X27">
            <v>9</v>
          </cell>
          <cell r="Y27">
            <v>410</v>
          </cell>
          <cell r="Z27">
            <v>810</v>
          </cell>
          <cell r="AA27">
            <v>0.25</v>
          </cell>
          <cell r="AB27">
            <v>152.5</v>
          </cell>
          <cell r="AC27">
            <v>228.75</v>
          </cell>
          <cell r="AD27">
            <v>205</v>
          </cell>
          <cell r="AE27">
            <v>405</v>
          </cell>
          <cell r="AF27">
            <v>0.3</v>
          </cell>
          <cell r="AG27">
            <v>91.5</v>
          </cell>
          <cell r="AH27">
            <v>411.75</v>
          </cell>
          <cell r="AI27">
            <v>103</v>
          </cell>
          <cell r="AJ27">
            <v>203</v>
          </cell>
          <cell r="AK27">
            <v>0.5</v>
          </cell>
          <cell r="AL27">
            <v>76.5</v>
          </cell>
          <cell r="AM27">
            <v>688.5</v>
          </cell>
          <cell r="AN27">
            <v>1329</v>
          </cell>
        </row>
        <row r="28">
          <cell r="S28">
            <v>23</v>
          </cell>
          <cell r="T28">
            <v>21</v>
          </cell>
          <cell r="U28">
            <v>30</v>
          </cell>
          <cell r="V28">
            <v>1.5</v>
          </cell>
          <cell r="W28">
            <v>4.5</v>
          </cell>
          <cell r="X28">
            <v>9</v>
          </cell>
          <cell r="Y28">
            <v>420</v>
          </cell>
          <cell r="Z28">
            <v>840</v>
          </cell>
          <cell r="AA28">
            <v>0.25</v>
          </cell>
          <cell r="AB28">
            <v>157.5</v>
          </cell>
          <cell r="AC28">
            <v>236.25</v>
          </cell>
          <cell r="AD28">
            <v>210</v>
          </cell>
          <cell r="AE28">
            <v>420</v>
          </cell>
          <cell r="AF28">
            <v>0.3</v>
          </cell>
          <cell r="AG28">
            <v>94.5</v>
          </cell>
          <cell r="AH28">
            <v>425.25</v>
          </cell>
          <cell r="AI28">
            <v>105</v>
          </cell>
          <cell r="AJ28">
            <v>210</v>
          </cell>
          <cell r="AK28">
            <v>0.5</v>
          </cell>
          <cell r="AL28">
            <v>78.75</v>
          </cell>
          <cell r="AM28">
            <v>708.75</v>
          </cell>
          <cell r="AN28">
            <v>1370.25</v>
          </cell>
        </row>
        <row r="29">
          <cell r="S29">
            <v>24</v>
          </cell>
          <cell r="T29">
            <v>33</v>
          </cell>
          <cell r="U29">
            <v>30</v>
          </cell>
          <cell r="V29">
            <v>1.5</v>
          </cell>
          <cell r="W29">
            <v>4.5</v>
          </cell>
          <cell r="X29">
            <v>9</v>
          </cell>
          <cell r="Y29">
            <v>440</v>
          </cell>
          <cell r="Z29">
            <v>870</v>
          </cell>
          <cell r="AA29">
            <v>0.25</v>
          </cell>
          <cell r="AB29">
            <v>163.75</v>
          </cell>
          <cell r="AC29">
            <v>245.625</v>
          </cell>
          <cell r="AD29">
            <v>220</v>
          </cell>
          <cell r="AE29">
            <v>435</v>
          </cell>
          <cell r="AF29">
            <v>0.3</v>
          </cell>
          <cell r="AG29">
            <v>98.25</v>
          </cell>
          <cell r="AH29">
            <v>442.125</v>
          </cell>
          <cell r="AI29">
            <v>110</v>
          </cell>
          <cell r="AJ29">
            <v>218</v>
          </cell>
          <cell r="AK29">
            <v>0.5</v>
          </cell>
          <cell r="AL29">
            <v>82</v>
          </cell>
          <cell r="AM29">
            <v>738</v>
          </cell>
          <cell r="AN29">
            <v>1425.75</v>
          </cell>
        </row>
        <row r="30">
          <cell r="S30">
            <v>25</v>
          </cell>
          <cell r="T30">
            <v>18</v>
          </cell>
          <cell r="U30">
            <v>30</v>
          </cell>
          <cell r="V30">
            <v>1.5</v>
          </cell>
          <cell r="W30">
            <v>4.5</v>
          </cell>
          <cell r="X30">
            <v>9</v>
          </cell>
          <cell r="Y30">
            <v>450</v>
          </cell>
          <cell r="Z30">
            <v>900</v>
          </cell>
          <cell r="AA30">
            <v>0.25</v>
          </cell>
          <cell r="AB30">
            <v>168.75</v>
          </cell>
          <cell r="AC30">
            <v>253.125</v>
          </cell>
          <cell r="AD30">
            <v>225</v>
          </cell>
          <cell r="AE30">
            <v>450</v>
          </cell>
          <cell r="AF30">
            <v>0.3</v>
          </cell>
          <cell r="AG30">
            <v>101.25</v>
          </cell>
          <cell r="AH30">
            <v>455.625</v>
          </cell>
          <cell r="AI30">
            <v>113</v>
          </cell>
          <cell r="AJ30">
            <v>225</v>
          </cell>
          <cell r="AK30">
            <v>0.5</v>
          </cell>
          <cell r="AL30">
            <v>84.5</v>
          </cell>
          <cell r="AM30">
            <v>760.5</v>
          </cell>
          <cell r="AN30">
            <v>1469.25</v>
          </cell>
        </row>
        <row r="31">
          <cell r="S31">
            <v>26</v>
          </cell>
          <cell r="T31">
            <v>42</v>
          </cell>
          <cell r="U31">
            <v>30</v>
          </cell>
          <cell r="V31">
            <v>1.5</v>
          </cell>
          <cell r="W31">
            <v>4.5</v>
          </cell>
          <cell r="X31">
            <v>9</v>
          </cell>
          <cell r="Y31">
            <v>470</v>
          </cell>
          <cell r="Z31">
            <v>930</v>
          </cell>
          <cell r="AA31">
            <v>0.25</v>
          </cell>
          <cell r="AB31">
            <v>175</v>
          </cell>
          <cell r="AC31">
            <v>262.5</v>
          </cell>
          <cell r="AD31">
            <v>235</v>
          </cell>
          <cell r="AE31">
            <v>465</v>
          </cell>
          <cell r="AF31">
            <v>0.3</v>
          </cell>
          <cell r="AG31">
            <v>105</v>
          </cell>
          <cell r="AH31">
            <v>472.5</v>
          </cell>
          <cell r="AI31">
            <v>118</v>
          </cell>
          <cell r="AJ31">
            <v>233</v>
          </cell>
          <cell r="AK31">
            <v>0.5</v>
          </cell>
          <cell r="AL31">
            <v>87.75</v>
          </cell>
          <cell r="AM31">
            <v>789.75</v>
          </cell>
          <cell r="AN31">
            <v>1524.75</v>
          </cell>
        </row>
        <row r="32">
          <cell r="S32">
            <v>27</v>
          </cell>
          <cell r="T32">
            <v>12</v>
          </cell>
          <cell r="U32">
            <v>30</v>
          </cell>
          <cell r="V32">
            <v>1.5</v>
          </cell>
          <cell r="W32">
            <v>4.5</v>
          </cell>
          <cell r="X32">
            <v>9</v>
          </cell>
          <cell r="Y32">
            <v>480</v>
          </cell>
          <cell r="Z32">
            <v>960</v>
          </cell>
          <cell r="AA32">
            <v>0.25</v>
          </cell>
          <cell r="AB32">
            <v>180</v>
          </cell>
          <cell r="AC32">
            <v>270</v>
          </cell>
          <cell r="AD32">
            <v>240</v>
          </cell>
          <cell r="AE32">
            <v>480</v>
          </cell>
          <cell r="AF32">
            <v>0.3</v>
          </cell>
          <cell r="AG32">
            <v>108</v>
          </cell>
          <cell r="AH32">
            <v>486</v>
          </cell>
          <cell r="AI32">
            <v>120</v>
          </cell>
          <cell r="AJ32">
            <v>240</v>
          </cell>
          <cell r="AK32">
            <v>0.5</v>
          </cell>
          <cell r="AL32">
            <v>90</v>
          </cell>
          <cell r="AM32">
            <v>810</v>
          </cell>
          <cell r="AN32">
            <v>1566</v>
          </cell>
        </row>
        <row r="33">
          <cell r="S33">
            <v>28</v>
          </cell>
          <cell r="T33">
            <v>43</v>
          </cell>
          <cell r="U33">
            <v>30</v>
          </cell>
          <cell r="V33">
            <v>1.5</v>
          </cell>
          <cell r="W33">
            <v>4.5</v>
          </cell>
          <cell r="X33">
            <v>9</v>
          </cell>
          <cell r="Y33">
            <v>500</v>
          </cell>
          <cell r="Z33">
            <v>990</v>
          </cell>
          <cell r="AA33">
            <v>0.25</v>
          </cell>
          <cell r="AB33">
            <v>186.25</v>
          </cell>
          <cell r="AC33">
            <v>279.375</v>
          </cell>
          <cell r="AD33">
            <v>250</v>
          </cell>
          <cell r="AE33">
            <v>495</v>
          </cell>
          <cell r="AF33">
            <v>0.3</v>
          </cell>
          <cell r="AG33">
            <v>111.75</v>
          </cell>
          <cell r="AH33">
            <v>502.875</v>
          </cell>
          <cell r="AI33">
            <v>125</v>
          </cell>
          <cell r="AJ33">
            <v>248</v>
          </cell>
          <cell r="AK33">
            <v>0.5</v>
          </cell>
          <cell r="AL33">
            <v>93.25</v>
          </cell>
          <cell r="AM33">
            <v>839.25</v>
          </cell>
          <cell r="AN33">
            <v>1621.5</v>
          </cell>
        </row>
        <row r="34">
          <cell r="S34">
            <v>29</v>
          </cell>
          <cell r="T34">
            <v>33</v>
          </cell>
          <cell r="U34">
            <v>30</v>
          </cell>
          <cell r="V34">
            <v>1.5</v>
          </cell>
          <cell r="W34">
            <v>4.5</v>
          </cell>
          <cell r="X34">
            <v>9</v>
          </cell>
          <cell r="Y34">
            <v>510</v>
          </cell>
          <cell r="Z34">
            <v>1020</v>
          </cell>
          <cell r="AA34">
            <v>0.25</v>
          </cell>
          <cell r="AB34">
            <v>191.25</v>
          </cell>
          <cell r="AC34">
            <v>286.875</v>
          </cell>
          <cell r="AD34">
            <v>255</v>
          </cell>
          <cell r="AE34">
            <v>510</v>
          </cell>
          <cell r="AF34">
            <v>0.3</v>
          </cell>
          <cell r="AG34">
            <v>114.75</v>
          </cell>
          <cell r="AH34">
            <v>516.375</v>
          </cell>
          <cell r="AI34">
            <v>128</v>
          </cell>
          <cell r="AJ34">
            <v>255</v>
          </cell>
          <cell r="AK34">
            <v>0.5</v>
          </cell>
          <cell r="AL34">
            <v>95.75</v>
          </cell>
          <cell r="AM34">
            <v>861.75</v>
          </cell>
          <cell r="AN34">
            <v>1665</v>
          </cell>
        </row>
        <row r="35">
          <cell r="S35">
            <v>30</v>
          </cell>
          <cell r="T35">
            <v>42</v>
          </cell>
          <cell r="U35">
            <v>30</v>
          </cell>
          <cell r="V35">
            <v>1.5</v>
          </cell>
          <cell r="W35">
            <v>4.5</v>
          </cell>
          <cell r="X35">
            <v>9</v>
          </cell>
          <cell r="Y35">
            <v>530</v>
          </cell>
          <cell r="Z35">
            <v>1050</v>
          </cell>
          <cell r="AA35">
            <v>0.25</v>
          </cell>
          <cell r="AB35">
            <v>197.5</v>
          </cell>
          <cell r="AC35">
            <v>296.25</v>
          </cell>
          <cell r="AD35">
            <v>265</v>
          </cell>
          <cell r="AE35">
            <v>525</v>
          </cell>
          <cell r="AF35">
            <v>0.3</v>
          </cell>
          <cell r="AG35">
            <v>118.5</v>
          </cell>
          <cell r="AH35">
            <v>533.25</v>
          </cell>
          <cell r="AI35">
            <v>133</v>
          </cell>
          <cell r="AJ35">
            <v>263</v>
          </cell>
          <cell r="AK35">
            <v>0.5</v>
          </cell>
          <cell r="AL35">
            <v>99</v>
          </cell>
          <cell r="AM35">
            <v>891</v>
          </cell>
          <cell r="AN35">
            <v>1720.5</v>
          </cell>
        </row>
        <row r="36">
          <cell r="S36">
            <v>31</v>
          </cell>
          <cell r="T36">
            <v>21</v>
          </cell>
          <cell r="U36">
            <v>30</v>
          </cell>
          <cell r="V36">
            <v>1.5</v>
          </cell>
          <cell r="W36">
            <v>4.5</v>
          </cell>
          <cell r="X36">
            <v>9</v>
          </cell>
          <cell r="Y36">
            <v>540</v>
          </cell>
          <cell r="Z36">
            <v>1080</v>
          </cell>
          <cell r="AA36">
            <v>0.25</v>
          </cell>
          <cell r="AB36">
            <v>202.5</v>
          </cell>
          <cell r="AC36">
            <v>303.75</v>
          </cell>
          <cell r="AD36">
            <v>270</v>
          </cell>
          <cell r="AE36">
            <v>540</v>
          </cell>
          <cell r="AF36">
            <v>0.3</v>
          </cell>
          <cell r="AG36">
            <v>121.5</v>
          </cell>
          <cell r="AH36">
            <v>546.75</v>
          </cell>
          <cell r="AI36">
            <v>135</v>
          </cell>
          <cell r="AJ36">
            <v>270</v>
          </cell>
          <cell r="AK36">
            <v>0.5</v>
          </cell>
          <cell r="AL36">
            <v>101.25</v>
          </cell>
          <cell r="AM36">
            <v>911.25</v>
          </cell>
          <cell r="AN36">
            <v>1761.75</v>
          </cell>
        </row>
        <row r="37">
          <cell r="S37">
            <v>32</v>
          </cell>
          <cell r="T37">
            <v>18</v>
          </cell>
          <cell r="U37">
            <v>30</v>
          </cell>
          <cell r="V37">
            <v>1.5</v>
          </cell>
          <cell r="W37">
            <v>4.5</v>
          </cell>
          <cell r="X37">
            <v>9</v>
          </cell>
          <cell r="Y37">
            <v>560</v>
          </cell>
          <cell r="Z37">
            <v>1110</v>
          </cell>
          <cell r="AA37">
            <v>0.25</v>
          </cell>
          <cell r="AB37">
            <v>208.75</v>
          </cell>
          <cell r="AC37">
            <v>313.125</v>
          </cell>
          <cell r="AD37">
            <v>280</v>
          </cell>
          <cell r="AE37">
            <v>555</v>
          </cell>
          <cell r="AF37">
            <v>0.3</v>
          </cell>
          <cell r="AG37">
            <v>125.25</v>
          </cell>
          <cell r="AH37">
            <v>563.625</v>
          </cell>
          <cell r="AI37">
            <v>140</v>
          </cell>
          <cell r="AJ37">
            <v>278</v>
          </cell>
          <cell r="AK37">
            <v>0.5</v>
          </cell>
          <cell r="AL37">
            <v>104.5</v>
          </cell>
          <cell r="AM37">
            <v>940.5</v>
          </cell>
          <cell r="AN37">
            <v>1817.25</v>
          </cell>
        </row>
        <row r="38">
          <cell r="S38">
            <v>33</v>
          </cell>
          <cell r="T38">
            <v>33</v>
          </cell>
          <cell r="U38">
            <v>30</v>
          </cell>
          <cell r="V38">
            <v>1.5</v>
          </cell>
          <cell r="W38">
            <v>4.5</v>
          </cell>
          <cell r="X38">
            <v>9</v>
          </cell>
          <cell r="Y38">
            <v>570</v>
          </cell>
          <cell r="Z38">
            <v>1140</v>
          </cell>
          <cell r="AA38">
            <v>0.25</v>
          </cell>
          <cell r="AB38">
            <v>213.75</v>
          </cell>
          <cell r="AC38">
            <v>320.625</v>
          </cell>
          <cell r="AD38">
            <v>285</v>
          </cell>
          <cell r="AE38">
            <v>570</v>
          </cell>
          <cell r="AF38">
            <v>0.3</v>
          </cell>
          <cell r="AG38">
            <v>128.25</v>
          </cell>
          <cell r="AH38">
            <v>577.125</v>
          </cell>
          <cell r="AI38">
            <v>143</v>
          </cell>
          <cell r="AJ38">
            <v>285</v>
          </cell>
          <cell r="AK38">
            <v>0.5</v>
          </cell>
          <cell r="AL38">
            <v>107</v>
          </cell>
          <cell r="AM38">
            <v>963</v>
          </cell>
          <cell r="AN38">
            <v>1860.75</v>
          </cell>
        </row>
        <row r="39">
          <cell r="S39">
            <v>34</v>
          </cell>
          <cell r="T39">
            <v>33</v>
          </cell>
          <cell r="U39">
            <v>30</v>
          </cell>
          <cell r="V39">
            <v>1.5</v>
          </cell>
          <cell r="W39">
            <v>4.5</v>
          </cell>
          <cell r="X39">
            <v>9</v>
          </cell>
          <cell r="Y39">
            <v>590</v>
          </cell>
          <cell r="Z39">
            <v>1170</v>
          </cell>
          <cell r="AA39">
            <v>0.25</v>
          </cell>
          <cell r="AB39">
            <v>220</v>
          </cell>
          <cell r="AC39">
            <v>330</v>
          </cell>
          <cell r="AD39">
            <v>295</v>
          </cell>
          <cell r="AE39">
            <v>585</v>
          </cell>
          <cell r="AF39">
            <v>0.3</v>
          </cell>
          <cell r="AG39">
            <v>132</v>
          </cell>
          <cell r="AH39">
            <v>594</v>
          </cell>
          <cell r="AI39">
            <v>148</v>
          </cell>
          <cell r="AJ39">
            <v>293</v>
          </cell>
          <cell r="AK39">
            <v>0.5</v>
          </cell>
          <cell r="AL39">
            <v>110.25</v>
          </cell>
          <cell r="AM39">
            <v>992.25</v>
          </cell>
          <cell r="AN39">
            <v>1916.25</v>
          </cell>
        </row>
        <row r="40">
          <cell r="S40">
            <v>35</v>
          </cell>
          <cell r="T40">
            <v>15</v>
          </cell>
          <cell r="U40">
            <v>30</v>
          </cell>
          <cell r="V40">
            <v>1.5</v>
          </cell>
          <cell r="W40">
            <v>4.5</v>
          </cell>
          <cell r="X40">
            <v>9</v>
          </cell>
          <cell r="Y40">
            <v>600</v>
          </cell>
          <cell r="Z40">
            <v>1200</v>
          </cell>
          <cell r="AA40">
            <v>0.25</v>
          </cell>
          <cell r="AB40">
            <v>225</v>
          </cell>
          <cell r="AC40">
            <v>337.5</v>
          </cell>
          <cell r="AD40">
            <v>300</v>
          </cell>
          <cell r="AE40">
            <v>600</v>
          </cell>
          <cell r="AF40">
            <v>0.3</v>
          </cell>
          <cell r="AG40">
            <v>135</v>
          </cell>
          <cell r="AH40">
            <v>607.5</v>
          </cell>
          <cell r="AI40">
            <v>150</v>
          </cell>
          <cell r="AJ40">
            <v>300</v>
          </cell>
          <cell r="AK40">
            <v>0.5</v>
          </cell>
          <cell r="AL40">
            <v>112.5</v>
          </cell>
          <cell r="AM40">
            <v>1012.5</v>
          </cell>
          <cell r="AN40">
            <v>1957.5</v>
          </cell>
        </row>
        <row r="41">
          <cell r="S41">
            <v>36</v>
          </cell>
          <cell r="T41">
            <v>33</v>
          </cell>
          <cell r="U41">
            <v>30</v>
          </cell>
          <cell r="V41">
            <v>1.5</v>
          </cell>
          <cell r="W41">
            <v>4.5</v>
          </cell>
          <cell r="X41">
            <v>9</v>
          </cell>
          <cell r="Y41">
            <v>620</v>
          </cell>
          <cell r="Z41">
            <v>1230</v>
          </cell>
          <cell r="AA41">
            <v>0.25</v>
          </cell>
          <cell r="AB41">
            <v>231.25</v>
          </cell>
          <cell r="AC41">
            <v>346.875</v>
          </cell>
          <cell r="AD41">
            <v>310</v>
          </cell>
          <cell r="AE41">
            <v>615</v>
          </cell>
          <cell r="AF41">
            <v>0.3</v>
          </cell>
          <cell r="AG41">
            <v>138.75</v>
          </cell>
          <cell r="AH41">
            <v>624.375</v>
          </cell>
          <cell r="AI41">
            <v>155</v>
          </cell>
          <cell r="AJ41">
            <v>308</v>
          </cell>
          <cell r="AK41">
            <v>0.5</v>
          </cell>
          <cell r="AL41">
            <v>115.75</v>
          </cell>
          <cell r="AM41">
            <v>1041.75</v>
          </cell>
          <cell r="AN41">
            <v>2013</v>
          </cell>
        </row>
        <row r="42">
          <cell r="S42">
            <v>37</v>
          </cell>
          <cell r="T42">
            <v>33</v>
          </cell>
          <cell r="U42">
            <v>30</v>
          </cell>
          <cell r="V42">
            <v>1.5</v>
          </cell>
          <cell r="W42">
            <v>4.5</v>
          </cell>
          <cell r="X42">
            <v>9</v>
          </cell>
          <cell r="Y42">
            <v>630</v>
          </cell>
          <cell r="Z42">
            <v>1260</v>
          </cell>
          <cell r="AA42">
            <v>0.25</v>
          </cell>
          <cell r="AB42">
            <v>236.25</v>
          </cell>
          <cell r="AC42">
            <v>354.375</v>
          </cell>
          <cell r="AD42">
            <v>315</v>
          </cell>
          <cell r="AE42">
            <v>630</v>
          </cell>
          <cell r="AF42">
            <v>0.3</v>
          </cell>
          <cell r="AG42">
            <v>141.75</v>
          </cell>
          <cell r="AH42">
            <v>637.875</v>
          </cell>
          <cell r="AI42">
            <v>158</v>
          </cell>
          <cell r="AJ42">
            <v>315</v>
          </cell>
          <cell r="AK42">
            <v>0.5</v>
          </cell>
          <cell r="AL42">
            <v>118.25</v>
          </cell>
          <cell r="AM42">
            <v>1064.25</v>
          </cell>
          <cell r="AN42">
            <v>2056.5</v>
          </cell>
        </row>
        <row r="43">
          <cell r="S43">
            <v>38</v>
          </cell>
          <cell r="T43">
            <v>102</v>
          </cell>
          <cell r="U43">
            <v>30</v>
          </cell>
          <cell r="V43">
            <v>1.5</v>
          </cell>
          <cell r="W43">
            <v>4.5</v>
          </cell>
          <cell r="X43">
            <v>9</v>
          </cell>
          <cell r="Y43">
            <v>650</v>
          </cell>
          <cell r="Z43">
            <v>1290</v>
          </cell>
          <cell r="AA43">
            <v>0.25</v>
          </cell>
          <cell r="AB43">
            <v>242.5</v>
          </cell>
          <cell r="AC43">
            <v>363.75</v>
          </cell>
          <cell r="AD43">
            <v>325</v>
          </cell>
          <cell r="AE43">
            <v>645</v>
          </cell>
          <cell r="AF43">
            <v>0.3</v>
          </cell>
          <cell r="AG43">
            <v>145.5</v>
          </cell>
          <cell r="AH43">
            <v>654.75</v>
          </cell>
          <cell r="AI43">
            <v>163</v>
          </cell>
          <cell r="AJ43">
            <v>323</v>
          </cell>
          <cell r="AK43">
            <v>0.5</v>
          </cell>
          <cell r="AL43">
            <v>121.5</v>
          </cell>
          <cell r="AM43">
            <v>1093.5</v>
          </cell>
          <cell r="AN43">
            <v>2112</v>
          </cell>
        </row>
        <row r="44">
          <cell r="S44">
            <v>39</v>
          </cell>
          <cell r="T44">
            <v>48</v>
          </cell>
          <cell r="U44">
            <v>30</v>
          </cell>
          <cell r="V44">
            <v>1.5</v>
          </cell>
          <cell r="W44">
            <v>4.5</v>
          </cell>
          <cell r="X44">
            <v>9</v>
          </cell>
          <cell r="Y44">
            <v>660</v>
          </cell>
          <cell r="Z44">
            <v>1320</v>
          </cell>
          <cell r="AA44">
            <v>0.25</v>
          </cell>
          <cell r="AB44">
            <v>247.5</v>
          </cell>
          <cell r="AC44">
            <v>371.25</v>
          </cell>
          <cell r="AD44">
            <v>330</v>
          </cell>
          <cell r="AE44">
            <v>660</v>
          </cell>
          <cell r="AF44">
            <v>0.3</v>
          </cell>
          <cell r="AG44">
            <v>148.5</v>
          </cell>
          <cell r="AH44">
            <v>668.25</v>
          </cell>
          <cell r="AI44">
            <v>165</v>
          </cell>
          <cell r="AJ44">
            <v>330</v>
          </cell>
          <cell r="AK44">
            <v>0.5</v>
          </cell>
          <cell r="AL44">
            <v>123.75</v>
          </cell>
          <cell r="AM44">
            <v>1113.75</v>
          </cell>
          <cell r="AN44">
            <v>2153.25</v>
          </cell>
        </row>
        <row r="45">
          <cell r="S45">
            <v>40</v>
          </cell>
          <cell r="T45">
            <v>33</v>
          </cell>
          <cell r="U45">
            <v>30</v>
          </cell>
          <cell r="V45">
            <v>1.5</v>
          </cell>
          <cell r="W45">
            <v>4.5</v>
          </cell>
          <cell r="X45">
            <v>9</v>
          </cell>
          <cell r="Y45">
            <v>680</v>
          </cell>
          <cell r="Z45">
            <v>1350</v>
          </cell>
          <cell r="AA45">
            <v>0.25</v>
          </cell>
          <cell r="AB45">
            <v>253.75</v>
          </cell>
          <cell r="AC45">
            <v>380.625</v>
          </cell>
          <cell r="AD45">
            <v>340</v>
          </cell>
          <cell r="AE45">
            <v>675</v>
          </cell>
          <cell r="AF45">
            <v>0.3</v>
          </cell>
          <cell r="AG45">
            <v>152.25</v>
          </cell>
          <cell r="AH45">
            <v>685.125</v>
          </cell>
          <cell r="AI45">
            <v>170</v>
          </cell>
          <cell r="AJ45">
            <v>338</v>
          </cell>
          <cell r="AK45">
            <v>0.5</v>
          </cell>
          <cell r="AL45">
            <v>127</v>
          </cell>
          <cell r="AM45">
            <v>1143</v>
          </cell>
          <cell r="AN45">
            <v>2208.75</v>
          </cell>
        </row>
        <row r="46">
          <cell r="S46">
            <v>41</v>
          </cell>
          <cell r="T46">
            <v>18</v>
          </cell>
          <cell r="U46">
            <v>30</v>
          </cell>
          <cell r="V46">
            <v>1.5</v>
          </cell>
          <cell r="W46">
            <v>4.5</v>
          </cell>
          <cell r="X46">
            <v>9</v>
          </cell>
          <cell r="Y46">
            <v>690</v>
          </cell>
          <cell r="Z46">
            <v>1380</v>
          </cell>
          <cell r="AA46">
            <v>0.25</v>
          </cell>
          <cell r="AB46">
            <v>258.75</v>
          </cell>
          <cell r="AC46">
            <v>388.125</v>
          </cell>
          <cell r="AD46">
            <v>345</v>
          </cell>
          <cell r="AE46">
            <v>690</v>
          </cell>
          <cell r="AF46">
            <v>0.3</v>
          </cell>
          <cell r="AG46">
            <v>155.25</v>
          </cell>
          <cell r="AH46">
            <v>698.625</v>
          </cell>
          <cell r="AI46">
            <v>173</v>
          </cell>
          <cell r="AJ46">
            <v>345</v>
          </cell>
          <cell r="AK46">
            <v>0.5</v>
          </cell>
          <cell r="AL46">
            <v>129.5</v>
          </cell>
          <cell r="AM46">
            <v>1165.5</v>
          </cell>
          <cell r="AN46">
            <v>2252.25</v>
          </cell>
        </row>
        <row r="47">
          <cell r="S47">
            <v>42</v>
          </cell>
          <cell r="T47">
            <v>42</v>
          </cell>
          <cell r="U47">
            <v>30</v>
          </cell>
          <cell r="V47">
            <v>1.5</v>
          </cell>
          <cell r="W47">
            <v>4.5</v>
          </cell>
          <cell r="X47">
            <v>9</v>
          </cell>
          <cell r="Y47">
            <v>710</v>
          </cell>
          <cell r="Z47">
            <v>1410</v>
          </cell>
          <cell r="AA47">
            <v>0.25</v>
          </cell>
          <cell r="AB47">
            <v>265</v>
          </cell>
          <cell r="AC47">
            <v>397.5</v>
          </cell>
          <cell r="AD47">
            <v>355</v>
          </cell>
          <cell r="AE47">
            <v>705</v>
          </cell>
          <cell r="AF47">
            <v>0.3</v>
          </cell>
          <cell r="AG47">
            <v>159</v>
          </cell>
          <cell r="AH47">
            <v>715.5</v>
          </cell>
          <cell r="AI47">
            <v>178</v>
          </cell>
          <cell r="AJ47">
            <v>353</v>
          </cell>
          <cell r="AK47">
            <v>0.5</v>
          </cell>
          <cell r="AL47">
            <v>132.75</v>
          </cell>
          <cell r="AM47">
            <v>1194.75</v>
          </cell>
          <cell r="AN47">
            <v>2307.75</v>
          </cell>
        </row>
        <row r="48">
          <cell r="S48">
            <v>43</v>
          </cell>
          <cell r="T48">
            <v>21</v>
          </cell>
          <cell r="U48">
            <v>30</v>
          </cell>
          <cell r="V48">
            <v>1.5</v>
          </cell>
          <cell r="W48">
            <v>4.5</v>
          </cell>
          <cell r="X48">
            <v>9</v>
          </cell>
          <cell r="Y48">
            <v>720</v>
          </cell>
          <cell r="Z48">
            <v>1440</v>
          </cell>
          <cell r="AA48">
            <v>0.25</v>
          </cell>
          <cell r="AB48">
            <v>270</v>
          </cell>
          <cell r="AC48">
            <v>405</v>
          </cell>
          <cell r="AD48">
            <v>360</v>
          </cell>
          <cell r="AE48">
            <v>720</v>
          </cell>
          <cell r="AF48">
            <v>0.3</v>
          </cell>
          <cell r="AG48">
            <v>162</v>
          </cell>
          <cell r="AH48">
            <v>729</v>
          </cell>
          <cell r="AI48">
            <v>180</v>
          </cell>
          <cell r="AJ48">
            <v>360</v>
          </cell>
          <cell r="AK48">
            <v>0.5</v>
          </cell>
          <cell r="AL48">
            <v>135</v>
          </cell>
          <cell r="AM48">
            <v>1215</v>
          </cell>
          <cell r="AN48">
            <v>2349</v>
          </cell>
        </row>
        <row r="49">
          <cell r="S49">
            <v>44</v>
          </cell>
          <cell r="T49">
            <v>45</v>
          </cell>
          <cell r="U49">
            <v>30</v>
          </cell>
          <cell r="V49">
            <v>1.5</v>
          </cell>
          <cell r="W49">
            <v>4.5</v>
          </cell>
          <cell r="X49">
            <v>9</v>
          </cell>
          <cell r="Y49">
            <v>740</v>
          </cell>
          <cell r="Z49">
            <v>1470</v>
          </cell>
          <cell r="AA49">
            <v>0.25</v>
          </cell>
          <cell r="AB49">
            <v>276.25</v>
          </cell>
          <cell r="AC49">
            <v>414.375</v>
          </cell>
          <cell r="AD49">
            <v>370</v>
          </cell>
          <cell r="AE49">
            <v>735</v>
          </cell>
          <cell r="AF49">
            <v>0.3</v>
          </cell>
          <cell r="AG49">
            <v>165.75</v>
          </cell>
          <cell r="AH49">
            <v>745.875</v>
          </cell>
          <cell r="AI49">
            <v>185</v>
          </cell>
          <cell r="AJ49">
            <v>368</v>
          </cell>
          <cell r="AK49">
            <v>0.5</v>
          </cell>
          <cell r="AL49">
            <v>138.25</v>
          </cell>
          <cell r="AM49">
            <v>1244.25</v>
          </cell>
          <cell r="AN49">
            <v>2404.5</v>
          </cell>
        </row>
        <row r="50">
          <cell r="S50">
            <v>45</v>
          </cell>
          <cell r="T50">
            <v>0</v>
          </cell>
          <cell r="U50">
            <v>30</v>
          </cell>
          <cell r="V50">
            <v>1.5</v>
          </cell>
          <cell r="W50">
            <v>4.5</v>
          </cell>
          <cell r="X50">
            <v>9</v>
          </cell>
          <cell r="Y50">
            <v>750</v>
          </cell>
          <cell r="Z50">
            <v>1500</v>
          </cell>
          <cell r="AA50">
            <v>0.25</v>
          </cell>
          <cell r="AB50">
            <v>281.25</v>
          </cell>
          <cell r="AC50">
            <v>421.875</v>
          </cell>
          <cell r="AD50">
            <v>375</v>
          </cell>
          <cell r="AE50">
            <v>750</v>
          </cell>
          <cell r="AF50">
            <v>0.3</v>
          </cell>
          <cell r="AG50">
            <v>168.75</v>
          </cell>
          <cell r="AH50">
            <v>759.375</v>
          </cell>
          <cell r="AI50">
            <v>188</v>
          </cell>
          <cell r="AJ50">
            <v>375</v>
          </cell>
          <cell r="AK50">
            <v>0.5</v>
          </cell>
          <cell r="AL50">
            <v>140.75</v>
          </cell>
          <cell r="AM50">
            <v>1266.75</v>
          </cell>
          <cell r="AN50">
            <v>2448</v>
          </cell>
        </row>
        <row r="51">
          <cell r="S51">
            <v>46</v>
          </cell>
          <cell r="T51">
            <v>36</v>
          </cell>
          <cell r="U51">
            <v>30</v>
          </cell>
          <cell r="V51">
            <v>1.5</v>
          </cell>
          <cell r="W51">
            <v>4.5</v>
          </cell>
          <cell r="X51">
            <v>9</v>
          </cell>
          <cell r="Y51">
            <v>770</v>
          </cell>
          <cell r="Z51">
            <v>1530</v>
          </cell>
          <cell r="AA51">
            <v>0.25</v>
          </cell>
          <cell r="AB51">
            <v>287.5</v>
          </cell>
          <cell r="AC51">
            <v>431.25</v>
          </cell>
          <cell r="AD51">
            <v>385</v>
          </cell>
          <cell r="AE51">
            <v>765</v>
          </cell>
          <cell r="AF51">
            <v>0.3</v>
          </cell>
          <cell r="AG51">
            <v>172.5</v>
          </cell>
          <cell r="AH51">
            <v>776.25</v>
          </cell>
          <cell r="AI51">
            <v>193</v>
          </cell>
          <cell r="AJ51">
            <v>383</v>
          </cell>
          <cell r="AK51">
            <v>0.5</v>
          </cell>
          <cell r="AL51">
            <v>144</v>
          </cell>
          <cell r="AM51">
            <v>1296</v>
          </cell>
          <cell r="AN51">
            <v>2503.5</v>
          </cell>
        </row>
        <row r="52">
          <cell r="S52">
            <v>47</v>
          </cell>
          <cell r="T52">
            <v>21</v>
          </cell>
          <cell r="U52">
            <v>30</v>
          </cell>
          <cell r="V52">
            <v>1.5</v>
          </cell>
          <cell r="W52">
            <v>4.5</v>
          </cell>
          <cell r="X52">
            <v>9</v>
          </cell>
          <cell r="Y52">
            <v>780</v>
          </cell>
          <cell r="Z52">
            <v>1560</v>
          </cell>
          <cell r="AA52">
            <v>0.25</v>
          </cell>
          <cell r="AB52">
            <v>292.5</v>
          </cell>
          <cell r="AC52">
            <v>438.75</v>
          </cell>
          <cell r="AD52">
            <v>390</v>
          </cell>
          <cell r="AE52">
            <v>780</v>
          </cell>
          <cell r="AF52">
            <v>0.3</v>
          </cell>
          <cell r="AG52">
            <v>175.5</v>
          </cell>
          <cell r="AH52">
            <v>789.75</v>
          </cell>
          <cell r="AI52">
            <v>195</v>
          </cell>
          <cell r="AJ52">
            <v>390</v>
          </cell>
          <cell r="AK52">
            <v>0.5</v>
          </cell>
          <cell r="AL52">
            <v>146.25</v>
          </cell>
          <cell r="AM52">
            <v>1316.25</v>
          </cell>
          <cell r="AN52">
            <v>2544.75</v>
          </cell>
        </row>
        <row r="53">
          <cell r="S53">
            <v>48</v>
          </cell>
          <cell r="T53">
            <v>43</v>
          </cell>
          <cell r="U53">
            <v>30</v>
          </cell>
          <cell r="V53">
            <v>1.5</v>
          </cell>
          <cell r="W53">
            <v>4.5</v>
          </cell>
          <cell r="X53">
            <v>9</v>
          </cell>
          <cell r="Y53">
            <v>800</v>
          </cell>
          <cell r="Z53">
            <v>1590</v>
          </cell>
          <cell r="AA53">
            <v>0.25</v>
          </cell>
          <cell r="AB53">
            <v>298.75</v>
          </cell>
          <cell r="AC53">
            <v>448.125</v>
          </cell>
          <cell r="AD53">
            <v>400</v>
          </cell>
          <cell r="AE53">
            <v>795</v>
          </cell>
          <cell r="AF53">
            <v>0.3</v>
          </cell>
          <cell r="AG53">
            <v>179.25</v>
          </cell>
          <cell r="AH53">
            <v>806.625</v>
          </cell>
          <cell r="AI53">
            <v>200</v>
          </cell>
          <cell r="AJ53">
            <v>398</v>
          </cell>
          <cell r="AK53">
            <v>0.5</v>
          </cell>
          <cell r="AL53">
            <v>149.5</v>
          </cell>
          <cell r="AM53">
            <v>1345.5</v>
          </cell>
          <cell r="AN53">
            <v>2600.25</v>
          </cell>
        </row>
        <row r="54">
          <cell r="S54">
            <v>49</v>
          </cell>
          <cell r="T54">
            <v>33</v>
          </cell>
          <cell r="U54">
            <v>30</v>
          </cell>
          <cell r="V54">
            <v>1.5</v>
          </cell>
          <cell r="W54">
            <v>4.5</v>
          </cell>
          <cell r="X54">
            <v>9</v>
          </cell>
          <cell r="Y54">
            <v>810</v>
          </cell>
          <cell r="Z54">
            <v>1620</v>
          </cell>
          <cell r="AA54">
            <v>0.25</v>
          </cell>
          <cell r="AB54">
            <v>303.75</v>
          </cell>
          <cell r="AC54">
            <v>455.625</v>
          </cell>
          <cell r="AD54">
            <v>405</v>
          </cell>
          <cell r="AE54">
            <v>810</v>
          </cell>
          <cell r="AF54">
            <v>0.3</v>
          </cell>
          <cell r="AG54">
            <v>182.25</v>
          </cell>
          <cell r="AH54">
            <v>820.125</v>
          </cell>
          <cell r="AI54">
            <v>203</v>
          </cell>
          <cell r="AJ54">
            <v>405</v>
          </cell>
          <cell r="AK54">
            <v>0.5</v>
          </cell>
          <cell r="AL54">
            <v>152</v>
          </cell>
          <cell r="AM54">
            <v>1368</v>
          </cell>
          <cell r="AN54">
            <v>2643.75</v>
          </cell>
        </row>
        <row r="55">
          <cell r="S55">
            <v>50</v>
          </cell>
          <cell r="T55">
            <v>42</v>
          </cell>
          <cell r="U55">
            <v>30</v>
          </cell>
          <cell r="V55">
            <v>1.5</v>
          </cell>
          <cell r="W55">
            <v>4.5</v>
          </cell>
          <cell r="X55">
            <v>9</v>
          </cell>
          <cell r="Y55">
            <v>830</v>
          </cell>
          <cell r="Z55">
            <v>1650</v>
          </cell>
          <cell r="AA55">
            <v>0.25</v>
          </cell>
          <cell r="AB55">
            <v>310</v>
          </cell>
          <cell r="AC55">
            <v>465</v>
          </cell>
          <cell r="AD55">
            <v>415</v>
          </cell>
          <cell r="AE55">
            <v>825</v>
          </cell>
          <cell r="AF55">
            <v>0.3</v>
          </cell>
          <cell r="AG55">
            <v>186</v>
          </cell>
          <cell r="AH55">
            <v>837</v>
          </cell>
          <cell r="AI55">
            <v>208</v>
          </cell>
          <cell r="AJ55">
            <v>413</v>
          </cell>
          <cell r="AK55">
            <v>0.5</v>
          </cell>
          <cell r="AL55">
            <v>155.25</v>
          </cell>
          <cell r="AM55">
            <v>1397.25</v>
          </cell>
          <cell r="AN55">
            <v>2699.25</v>
          </cell>
        </row>
        <row r="56">
          <cell r="S56">
            <v>51</v>
          </cell>
          <cell r="T56">
            <v>126</v>
          </cell>
          <cell r="U56">
            <v>30</v>
          </cell>
          <cell r="V56">
            <v>1.5</v>
          </cell>
          <cell r="W56">
            <v>4.5</v>
          </cell>
          <cell r="X56">
            <v>9</v>
          </cell>
          <cell r="Y56">
            <v>850</v>
          </cell>
          <cell r="Z56">
            <v>1690</v>
          </cell>
          <cell r="AA56">
            <v>0.25</v>
          </cell>
          <cell r="AB56">
            <v>317.5</v>
          </cell>
          <cell r="AC56">
            <v>476.25</v>
          </cell>
          <cell r="AD56">
            <v>425</v>
          </cell>
          <cell r="AE56">
            <v>845</v>
          </cell>
          <cell r="AF56">
            <v>0.3</v>
          </cell>
          <cell r="AG56">
            <v>190.5</v>
          </cell>
          <cell r="AH56">
            <v>857.25</v>
          </cell>
          <cell r="AI56">
            <v>213</v>
          </cell>
          <cell r="AJ56">
            <v>423</v>
          </cell>
          <cell r="AK56">
            <v>0.5</v>
          </cell>
          <cell r="AL56">
            <v>159</v>
          </cell>
          <cell r="AM56">
            <v>1431</v>
          </cell>
          <cell r="AN56">
            <v>2764.5</v>
          </cell>
        </row>
        <row r="57">
          <cell r="S57">
            <v>52</v>
          </cell>
          <cell r="T57">
            <v>21</v>
          </cell>
          <cell r="U57">
            <v>30</v>
          </cell>
          <cell r="V57">
            <v>1.5</v>
          </cell>
          <cell r="W57">
            <v>4.5</v>
          </cell>
          <cell r="X57">
            <v>9</v>
          </cell>
          <cell r="Y57">
            <v>870</v>
          </cell>
          <cell r="Z57">
            <v>1730</v>
          </cell>
          <cell r="AA57">
            <v>0.25</v>
          </cell>
          <cell r="AB57">
            <v>325</v>
          </cell>
          <cell r="AC57">
            <v>487.5</v>
          </cell>
          <cell r="AD57">
            <v>435</v>
          </cell>
          <cell r="AE57">
            <v>865</v>
          </cell>
          <cell r="AF57">
            <v>0.3</v>
          </cell>
          <cell r="AG57">
            <v>195</v>
          </cell>
          <cell r="AH57">
            <v>877.5</v>
          </cell>
          <cell r="AI57">
            <v>218</v>
          </cell>
          <cell r="AJ57">
            <v>433</v>
          </cell>
          <cell r="AK57">
            <v>0.5</v>
          </cell>
          <cell r="AL57">
            <v>162.75</v>
          </cell>
          <cell r="AM57">
            <v>1464.75</v>
          </cell>
          <cell r="AN57">
            <v>2829.75</v>
          </cell>
        </row>
        <row r="58">
          <cell r="S58">
            <v>53</v>
          </cell>
          <cell r="T58">
            <v>42</v>
          </cell>
          <cell r="U58">
            <v>30</v>
          </cell>
          <cell r="V58">
            <v>1.5</v>
          </cell>
          <cell r="W58">
            <v>4.5</v>
          </cell>
          <cell r="X58">
            <v>9</v>
          </cell>
          <cell r="Y58">
            <v>880</v>
          </cell>
          <cell r="Z58">
            <v>1760</v>
          </cell>
          <cell r="AA58">
            <v>0.25</v>
          </cell>
          <cell r="AB58">
            <v>330</v>
          </cell>
          <cell r="AC58">
            <v>495</v>
          </cell>
          <cell r="AD58">
            <v>440</v>
          </cell>
          <cell r="AE58">
            <v>880</v>
          </cell>
          <cell r="AF58">
            <v>0.3</v>
          </cell>
          <cell r="AG58">
            <v>198</v>
          </cell>
          <cell r="AH58">
            <v>891</v>
          </cell>
          <cell r="AI58">
            <v>220</v>
          </cell>
          <cell r="AJ58">
            <v>440</v>
          </cell>
          <cell r="AK58">
            <v>0.5</v>
          </cell>
          <cell r="AL58">
            <v>165</v>
          </cell>
          <cell r="AM58">
            <v>1485</v>
          </cell>
          <cell r="AN58">
            <v>2871</v>
          </cell>
        </row>
        <row r="59">
          <cell r="S59">
            <v>54</v>
          </cell>
          <cell r="T59">
            <v>12</v>
          </cell>
          <cell r="U59">
            <v>30</v>
          </cell>
          <cell r="V59">
            <v>1.5</v>
          </cell>
          <cell r="W59">
            <v>4.5</v>
          </cell>
          <cell r="X59">
            <v>9</v>
          </cell>
          <cell r="Y59">
            <v>900</v>
          </cell>
          <cell r="Z59">
            <v>1800</v>
          </cell>
          <cell r="AA59">
            <v>0.25</v>
          </cell>
          <cell r="AB59">
            <v>337.5</v>
          </cell>
          <cell r="AC59">
            <v>506.25</v>
          </cell>
          <cell r="AD59">
            <v>450</v>
          </cell>
          <cell r="AE59">
            <v>900</v>
          </cell>
          <cell r="AF59">
            <v>0.3</v>
          </cell>
          <cell r="AG59">
            <v>202.5</v>
          </cell>
          <cell r="AH59">
            <v>911.25</v>
          </cell>
          <cell r="AI59">
            <v>225</v>
          </cell>
          <cell r="AJ59">
            <v>450</v>
          </cell>
          <cell r="AK59">
            <v>0.5</v>
          </cell>
          <cell r="AL59">
            <v>168.75</v>
          </cell>
          <cell r="AM59">
            <v>1518.75</v>
          </cell>
          <cell r="AN59">
            <v>2936.25</v>
          </cell>
        </row>
        <row r="60">
          <cell r="S60">
            <v>55</v>
          </cell>
          <cell r="T60">
            <v>12</v>
          </cell>
          <cell r="U60">
            <v>30</v>
          </cell>
          <cell r="V60">
            <v>1.5</v>
          </cell>
          <cell r="W60">
            <v>4.5</v>
          </cell>
          <cell r="X60">
            <v>9</v>
          </cell>
          <cell r="Y60">
            <v>920</v>
          </cell>
          <cell r="Z60">
            <v>1830</v>
          </cell>
          <cell r="AA60">
            <v>0.25</v>
          </cell>
          <cell r="AB60">
            <v>343.75</v>
          </cell>
          <cell r="AC60">
            <v>515.625</v>
          </cell>
          <cell r="AD60">
            <v>460</v>
          </cell>
          <cell r="AE60">
            <v>915</v>
          </cell>
          <cell r="AF60">
            <v>0.3</v>
          </cell>
          <cell r="AG60">
            <v>206.25</v>
          </cell>
          <cell r="AH60">
            <v>928.125</v>
          </cell>
          <cell r="AI60">
            <v>230</v>
          </cell>
          <cell r="AJ60">
            <v>458</v>
          </cell>
          <cell r="AK60">
            <v>0.5</v>
          </cell>
          <cell r="AL60">
            <v>172</v>
          </cell>
          <cell r="AM60">
            <v>1548</v>
          </cell>
          <cell r="AN60">
            <v>2991.75</v>
          </cell>
        </row>
        <row r="61">
          <cell r="S61">
            <v>56</v>
          </cell>
          <cell r="T61">
            <v>42</v>
          </cell>
          <cell r="U61">
            <v>30</v>
          </cell>
          <cell r="V61">
            <v>1.5</v>
          </cell>
          <cell r="W61">
            <v>4.5</v>
          </cell>
          <cell r="X61">
            <v>9</v>
          </cell>
          <cell r="Y61">
            <v>940</v>
          </cell>
          <cell r="Z61">
            <v>1870</v>
          </cell>
          <cell r="AA61">
            <v>0.25</v>
          </cell>
          <cell r="AB61">
            <v>351.25</v>
          </cell>
          <cell r="AC61">
            <v>526.875</v>
          </cell>
          <cell r="AD61">
            <v>470</v>
          </cell>
          <cell r="AE61">
            <v>935</v>
          </cell>
          <cell r="AF61">
            <v>0.3</v>
          </cell>
          <cell r="AG61">
            <v>210.75</v>
          </cell>
          <cell r="AH61">
            <v>948.375</v>
          </cell>
          <cell r="AI61">
            <v>235</v>
          </cell>
          <cell r="AJ61">
            <v>468</v>
          </cell>
          <cell r="AK61">
            <v>0.5</v>
          </cell>
          <cell r="AL61">
            <v>175.75</v>
          </cell>
          <cell r="AM61">
            <v>1581.75</v>
          </cell>
          <cell r="AN61">
            <v>3057</v>
          </cell>
        </row>
        <row r="62">
          <cell r="S62">
            <v>57</v>
          </cell>
          <cell r="T62">
            <v>12</v>
          </cell>
          <cell r="U62">
            <v>30</v>
          </cell>
          <cell r="V62">
            <v>1.5</v>
          </cell>
          <cell r="W62">
            <v>4.5</v>
          </cell>
          <cell r="X62">
            <v>9</v>
          </cell>
          <cell r="Y62">
            <v>960</v>
          </cell>
          <cell r="Z62">
            <v>1910</v>
          </cell>
          <cell r="AA62">
            <v>0.25</v>
          </cell>
          <cell r="AB62">
            <v>358.75</v>
          </cell>
          <cell r="AC62">
            <v>538.125</v>
          </cell>
          <cell r="AD62">
            <v>480</v>
          </cell>
          <cell r="AE62">
            <v>955</v>
          </cell>
          <cell r="AF62">
            <v>0.3</v>
          </cell>
          <cell r="AG62">
            <v>215.25</v>
          </cell>
          <cell r="AH62">
            <v>968.625</v>
          </cell>
          <cell r="AI62">
            <v>240</v>
          </cell>
          <cell r="AJ62">
            <v>478</v>
          </cell>
          <cell r="AK62">
            <v>0.5</v>
          </cell>
          <cell r="AL62">
            <v>179.5</v>
          </cell>
          <cell r="AM62">
            <v>1615.5</v>
          </cell>
          <cell r="AN62">
            <v>3122.25</v>
          </cell>
        </row>
        <row r="63">
          <cell r="S63">
            <v>58</v>
          </cell>
          <cell r="T63">
            <v>30</v>
          </cell>
          <cell r="U63">
            <v>30</v>
          </cell>
          <cell r="V63">
            <v>1.5</v>
          </cell>
          <cell r="W63">
            <v>4.5</v>
          </cell>
          <cell r="X63">
            <v>9</v>
          </cell>
          <cell r="Y63">
            <v>970</v>
          </cell>
          <cell r="Z63">
            <v>1940</v>
          </cell>
          <cell r="AA63">
            <v>0.25</v>
          </cell>
          <cell r="AB63">
            <v>363.75</v>
          </cell>
          <cell r="AC63">
            <v>545.625</v>
          </cell>
          <cell r="AD63">
            <v>485</v>
          </cell>
          <cell r="AE63">
            <v>970</v>
          </cell>
          <cell r="AF63">
            <v>0.3</v>
          </cell>
          <cell r="AG63">
            <v>218.25</v>
          </cell>
          <cell r="AH63">
            <v>982.125</v>
          </cell>
          <cell r="AI63">
            <v>243</v>
          </cell>
          <cell r="AJ63">
            <v>485</v>
          </cell>
          <cell r="AK63">
            <v>0.5</v>
          </cell>
          <cell r="AL63">
            <v>182</v>
          </cell>
          <cell r="AM63">
            <v>1638</v>
          </cell>
          <cell r="AN63">
            <v>3165.75</v>
          </cell>
        </row>
        <row r="64">
          <cell r="S64">
            <v>59</v>
          </cell>
          <cell r="T64">
            <v>12</v>
          </cell>
          <cell r="U64">
            <v>30</v>
          </cell>
          <cell r="V64">
            <v>1.5</v>
          </cell>
          <cell r="W64">
            <v>4.5</v>
          </cell>
          <cell r="X64">
            <v>9</v>
          </cell>
          <cell r="Y64">
            <v>990</v>
          </cell>
          <cell r="Z64">
            <v>1980</v>
          </cell>
          <cell r="AA64">
            <v>0.25</v>
          </cell>
          <cell r="AB64">
            <v>371.25</v>
          </cell>
          <cell r="AC64">
            <v>556.875</v>
          </cell>
          <cell r="AD64">
            <v>495</v>
          </cell>
          <cell r="AE64">
            <v>990</v>
          </cell>
          <cell r="AF64">
            <v>0.3</v>
          </cell>
          <cell r="AG64">
            <v>222.75</v>
          </cell>
          <cell r="AH64">
            <v>1002.375</v>
          </cell>
          <cell r="AI64">
            <v>248</v>
          </cell>
          <cell r="AJ64">
            <v>495</v>
          </cell>
          <cell r="AK64">
            <v>0.5</v>
          </cell>
          <cell r="AL64">
            <v>185.75</v>
          </cell>
          <cell r="AM64">
            <v>1671.75</v>
          </cell>
          <cell r="AN64">
            <v>3231</v>
          </cell>
        </row>
        <row r="65">
          <cell r="S65">
            <v>60</v>
          </cell>
          <cell r="T65">
            <v>30</v>
          </cell>
          <cell r="U65">
            <v>30</v>
          </cell>
          <cell r="V65">
            <v>1.5</v>
          </cell>
          <cell r="W65">
            <v>4.5</v>
          </cell>
          <cell r="X65">
            <v>9</v>
          </cell>
          <cell r="Y65">
            <v>1010</v>
          </cell>
          <cell r="Z65">
            <v>2010</v>
          </cell>
          <cell r="AA65">
            <v>0.25</v>
          </cell>
          <cell r="AB65">
            <v>377.5</v>
          </cell>
          <cell r="AC65">
            <v>566.25</v>
          </cell>
          <cell r="AD65">
            <v>505</v>
          </cell>
          <cell r="AE65">
            <v>1005</v>
          </cell>
          <cell r="AF65">
            <v>0.3</v>
          </cell>
          <cell r="AG65">
            <v>226.5</v>
          </cell>
          <cell r="AH65">
            <v>1019.25</v>
          </cell>
          <cell r="AI65">
            <v>253</v>
          </cell>
          <cell r="AJ65">
            <v>503</v>
          </cell>
          <cell r="AK65">
            <v>0.5</v>
          </cell>
          <cell r="AL65">
            <v>189</v>
          </cell>
          <cell r="AM65">
            <v>1701</v>
          </cell>
          <cell r="AN65">
            <v>3286.5</v>
          </cell>
        </row>
        <row r="66">
          <cell r="S66">
            <v>61</v>
          </cell>
          <cell r="T66">
            <v>0</v>
          </cell>
          <cell r="U66">
            <v>30</v>
          </cell>
          <cell r="V66">
            <v>1.5</v>
          </cell>
          <cell r="W66">
            <v>4.5</v>
          </cell>
          <cell r="X66">
            <v>9</v>
          </cell>
          <cell r="Y66">
            <v>1030</v>
          </cell>
          <cell r="Z66">
            <v>2050</v>
          </cell>
          <cell r="AA66">
            <v>0.25</v>
          </cell>
          <cell r="AB66">
            <v>385</v>
          </cell>
          <cell r="AC66">
            <v>577.5</v>
          </cell>
          <cell r="AD66">
            <v>515</v>
          </cell>
          <cell r="AE66">
            <v>1025</v>
          </cell>
          <cell r="AF66">
            <v>0.3</v>
          </cell>
          <cell r="AG66">
            <v>231</v>
          </cell>
          <cell r="AH66">
            <v>1039.5</v>
          </cell>
          <cell r="AI66">
            <v>258</v>
          </cell>
          <cell r="AJ66">
            <v>513</v>
          </cell>
          <cell r="AK66">
            <v>0.5</v>
          </cell>
          <cell r="AL66">
            <v>192.75</v>
          </cell>
          <cell r="AM66">
            <v>1734.75</v>
          </cell>
          <cell r="AN66">
            <v>3351.75</v>
          </cell>
        </row>
        <row r="67">
          <cell r="S67">
            <v>62</v>
          </cell>
          <cell r="T67">
            <v>0</v>
          </cell>
          <cell r="U67">
            <v>30</v>
          </cell>
          <cell r="V67">
            <v>1.5</v>
          </cell>
          <cell r="W67">
            <v>4.5</v>
          </cell>
          <cell r="X67">
            <v>9</v>
          </cell>
          <cell r="Y67">
            <v>1050</v>
          </cell>
          <cell r="Z67">
            <v>2090</v>
          </cell>
          <cell r="AA67">
            <v>0.25</v>
          </cell>
          <cell r="AB67">
            <v>392.5</v>
          </cell>
          <cell r="AC67">
            <v>588.75</v>
          </cell>
          <cell r="AD67">
            <v>525</v>
          </cell>
          <cell r="AE67">
            <v>1045</v>
          </cell>
          <cell r="AF67">
            <v>0.3</v>
          </cell>
          <cell r="AG67">
            <v>235.5</v>
          </cell>
          <cell r="AH67">
            <v>1059.75</v>
          </cell>
          <cell r="AI67">
            <v>263</v>
          </cell>
          <cell r="AJ67">
            <v>523</v>
          </cell>
          <cell r="AK67">
            <v>0.5</v>
          </cell>
          <cell r="AL67">
            <v>196.5</v>
          </cell>
          <cell r="AM67">
            <v>1768.5</v>
          </cell>
          <cell r="AN67">
            <v>3417</v>
          </cell>
        </row>
        <row r="68">
          <cell r="S68">
            <v>63</v>
          </cell>
          <cell r="T68">
            <v>0</v>
          </cell>
          <cell r="U68">
            <v>30</v>
          </cell>
          <cell r="V68">
            <v>1.5</v>
          </cell>
          <cell r="W68">
            <v>4.5</v>
          </cell>
          <cell r="X68">
            <v>9</v>
          </cell>
          <cell r="Y68">
            <v>1060</v>
          </cell>
          <cell r="Z68">
            <v>2120</v>
          </cell>
          <cell r="AA68">
            <v>0.25</v>
          </cell>
          <cell r="AB68">
            <v>397.5</v>
          </cell>
          <cell r="AC68">
            <v>596.25</v>
          </cell>
          <cell r="AD68">
            <v>530</v>
          </cell>
          <cell r="AE68">
            <v>1060</v>
          </cell>
          <cell r="AF68">
            <v>0.3</v>
          </cell>
          <cell r="AG68">
            <v>238.5</v>
          </cell>
          <cell r="AH68">
            <v>1073.25</v>
          </cell>
          <cell r="AI68">
            <v>265</v>
          </cell>
          <cell r="AJ68">
            <v>530</v>
          </cell>
          <cell r="AK68">
            <v>0.5</v>
          </cell>
          <cell r="AL68">
            <v>198.75</v>
          </cell>
          <cell r="AM68">
            <v>1788.75</v>
          </cell>
          <cell r="AN68">
            <v>3458.25</v>
          </cell>
        </row>
        <row r="69">
          <cell r="S69">
            <v>64</v>
          </cell>
          <cell r="T69">
            <v>0</v>
          </cell>
          <cell r="U69">
            <v>30</v>
          </cell>
          <cell r="V69">
            <v>1.5</v>
          </cell>
          <cell r="W69">
            <v>4.5</v>
          </cell>
          <cell r="X69">
            <v>9</v>
          </cell>
          <cell r="Y69">
            <v>1080</v>
          </cell>
          <cell r="Z69">
            <v>2160</v>
          </cell>
          <cell r="AA69">
            <v>0.25</v>
          </cell>
          <cell r="AB69">
            <v>405</v>
          </cell>
          <cell r="AC69">
            <v>607.5</v>
          </cell>
          <cell r="AD69">
            <v>540</v>
          </cell>
          <cell r="AE69">
            <v>1080</v>
          </cell>
          <cell r="AF69">
            <v>0.3</v>
          </cell>
          <cell r="AG69">
            <v>243</v>
          </cell>
          <cell r="AH69">
            <v>1093.5</v>
          </cell>
          <cell r="AI69">
            <v>270</v>
          </cell>
          <cell r="AJ69">
            <v>540</v>
          </cell>
          <cell r="AK69">
            <v>0.5</v>
          </cell>
          <cell r="AL69">
            <v>202.5</v>
          </cell>
          <cell r="AM69">
            <v>1822.5</v>
          </cell>
          <cell r="AN69">
            <v>3523.5</v>
          </cell>
        </row>
        <row r="70">
          <cell r="S70">
            <v>65</v>
          </cell>
          <cell r="T70">
            <v>0</v>
          </cell>
          <cell r="U70">
            <v>30</v>
          </cell>
          <cell r="V70">
            <v>1.5</v>
          </cell>
          <cell r="W70">
            <v>4.5</v>
          </cell>
          <cell r="X70">
            <v>9</v>
          </cell>
          <cell r="Y70">
            <v>1100</v>
          </cell>
          <cell r="Z70">
            <v>2190</v>
          </cell>
          <cell r="AA70">
            <v>0.25</v>
          </cell>
          <cell r="AB70">
            <v>411.25</v>
          </cell>
          <cell r="AC70">
            <v>616.875</v>
          </cell>
          <cell r="AD70">
            <v>550</v>
          </cell>
          <cell r="AE70">
            <v>1095</v>
          </cell>
          <cell r="AF70">
            <v>0.3</v>
          </cell>
          <cell r="AG70">
            <v>246.75</v>
          </cell>
          <cell r="AH70">
            <v>1110.375</v>
          </cell>
          <cell r="AI70">
            <v>275</v>
          </cell>
          <cell r="AJ70">
            <v>548</v>
          </cell>
          <cell r="AK70">
            <v>0.5</v>
          </cell>
          <cell r="AL70">
            <v>205.75</v>
          </cell>
          <cell r="AM70">
            <v>1851.75</v>
          </cell>
          <cell r="AN70">
            <v>3579</v>
          </cell>
        </row>
        <row r="71">
          <cell r="S71">
            <v>66</v>
          </cell>
          <cell r="T71">
            <v>0</v>
          </cell>
          <cell r="U71">
            <v>30</v>
          </cell>
          <cell r="V71">
            <v>1.5</v>
          </cell>
          <cell r="W71">
            <v>4.5</v>
          </cell>
          <cell r="X71">
            <v>9</v>
          </cell>
          <cell r="Y71">
            <v>1120</v>
          </cell>
          <cell r="Z71">
            <v>2230</v>
          </cell>
          <cell r="AA71">
            <v>0.25</v>
          </cell>
          <cell r="AB71">
            <v>418.75</v>
          </cell>
          <cell r="AC71">
            <v>628.125</v>
          </cell>
          <cell r="AD71">
            <v>560</v>
          </cell>
          <cell r="AE71">
            <v>1115</v>
          </cell>
          <cell r="AF71">
            <v>0.3</v>
          </cell>
          <cell r="AG71">
            <v>251.25</v>
          </cell>
          <cell r="AH71">
            <v>1130.625</v>
          </cell>
          <cell r="AI71">
            <v>280</v>
          </cell>
          <cell r="AJ71">
            <v>558</v>
          </cell>
          <cell r="AK71">
            <v>0.5</v>
          </cell>
          <cell r="AL71">
            <v>209.5</v>
          </cell>
          <cell r="AM71">
            <v>1885.5</v>
          </cell>
          <cell r="AN71">
            <v>3644.25</v>
          </cell>
        </row>
        <row r="72">
          <cell r="S72">
            <v>67</v>
          </cell>
          <cell r="T72">
            <v>0</v>
          </cell>
          <cell r="U72">
            <v>30</v>
          </cell>
          <cell r="V72">
            <v>1.5</v>
          </cell>
          <cell r="W72">
            <v>4.5</v>
          </cell>
          <cell r="X72">
            <v>9</v>
          </cell>
          <cell r="Y72">
            <v>1140</v>
          </cell>
          <cell r="Z72">
            <v>2270</v>
          </cell>
          <cell r="AA72">
            <v>0.25</v>
          </cell>
          <cell r="AB72">
            <v>426.25</v>
          </cell>
          <cell r="AC72">
            <v>639.375</v>
          </cell>
          <cell r="AD72">
            <v>570</v>
          </cell>
          <cell r="AE72">
            <v>1135</v>
          </cell>
          <cell r="AF72">
            <v>0.3</v>
          </cell>
          <cell r="AG72">
            <v>255.75</v>
          </cell>
          <cell r="AH72">
            <v>1150.875</v>
          </cell>
          <cell r="AI72">
            <v>285</v>
          </cell>
          <cell r="AJ72">
            <v>568</v>
          </cell>
          <cell r="AK72">
            <v>0.5</v>
          </cell>
          <cell r="AL72">
            <v>213.25</v>
          </cell>
          <cell r="AM72">
            <v>1919.25</v>
          </cell>
          <cell r="AN72">
            <v>3709.5</v>
          </cell>
        </row>
        <row r="73">
          <cell r="S73">
            <v>68</v>
          </cell>
          <cell r="T73">
            <v>0</v>
          </cell>
          <cell r="U73">
            <v>30</v>
          </cell>
          <cell r="V73">
            <v>1.5</v>
          </cell>
          <cell r="W73">
            <v>4.5</v>
          </cell>
          <cell r="X73">
            <v>9</v>
          </cell>
          <cell r="Y73">
            <v>1150</v>
          </cell>
          <cell r="Z73">
            <v>2300</v>
          </cell>
          <cell r="AA73">
            <v>0.25</v>
          </cell>
          <cell r="AB73">
            <v>431.25</v>
          </cell>
          <cell r="AC73">
            <v>646.875</v>
          </cell>
          <cell r="AD73">
            <v>575</v>
          </cell>
          <cell r="AE73">
            <v>1150</v>
          </cell>
          <cell r="AF73">
            <v>0.3</v>
          </cell>
          <cell r="AG73">
            <v>258.75</v>
          </cell>
          <cell r="AH73">
            <v>1164.375</v>
          </cell>
          <cell r="AI73">
            <v>288</v>
          </cell>
          <cell r="AJ73">
            <v>575</v>
          </cell>
          <cell r="AK73">
            <v>0.5</v>
          </cell>
          <cell r="AL73">
            <v>215.75</v>
          </cell>
          <cell r="AM73">
            <v>1941.75</v>
          </cell>
          <cell r="AN73">
            <v>3753</v>
          </cell>
        </row>
        <row r="74">
          <cell r="S74">
            <v>69</v>
          </cell>
          <cell r="T74">
            <v>0</v>
          </cell>
          <cell r="U74">
            <v>30</v>
          </cell>
          <cell r="V74">
            <v>1.5</v>
          </cell>
          <cell r="W74">
            <v>4.5</v>
          </cell>
          <cell r="X74">
            <v>9</v>
          </cell>
          <cell r="Y74">
            <v>1170</v>
          </cell>
          <cell r="Z74">
            <v>2340</v>
          </cell>
          <cell r="AA74">
            <v>0.25</v>
          </cell>
          <cell r="AB74">
            <v>438.75</v>
          </cell>
          <cell r="AC74">
            <v>658.125</v>
          </cell>
          <cell r="AD74">
            <v>585</v>
          </cell>
          <cell r="AE74">
            <v>1170</v>
          </cell>
          <cell r="AF74">
            <v>0.3</v>
          </cell>
          <cell r="AG74">
            <v>263.25</v>
          </cell>
          <cell r="AH74">
            <v>1184.625</v>
          </cell>
          <cell r="AI74">
            <v>293</v>
          </cell>
          <cell r="AJ74">
            <v>585</v>
          </cell>
          <cell r="AK74">
            <v>0.5</v>
          </cell>
          <cell r="AL74">
            <v>219.5</v>
          </cell>
          <cell r="AM74">
            <v>1975.5</v>
          </cell>
          <cell r="AN74">
            <v>3818.25</v>
          </cell>
        </row>
        <row r="75">
          <cell r="S75">
            <v>70</v>
          </cell>
          <cell r="T75">
            <v>0</v>
          </cell>
          <cell r="U75">
            <v>30</v>
          </cell>
          <cell r="V75">
            <v>1.5</v>
          </cell>
          <cell r="W75">
            <v>4.5</v>
          </cell>
          <cell r="X75">
            <v>9</v>
          </cell>
          <cell r="Y75">
            <v>1190</v>
          </cell>
          <cell r="Z75">
            <v>2370</v>
          </cell>
          <cell r="AA75">
            <v>0.25</v>
          </cell>
          <cell r="AB75">
            <v>445</v>
          </cell>
          <cell r="AC75">
            <v>667.5</v>
          </cell>
          <cell r="AD75">
            <v>595</v>
          </cell>
          <cell r="AE75">
            <v>1185</v>
          </cell>
          <cell r="AF75">
            <v>0.3</v>
          </cell>
          <cell r="AG75">
            <v>267</v>
          </cell>
          <cell r="AH75">
            <v>1201.5</v>
          </cell>
          <cell r="AI75">
            <v>298</v>
          </cell>
          <cell r="AJ75">
            <v>593</v>
          </cell>
          <cell r="AK75">
            <v>0.5</v>
          </cell>
          <cell r="AL75">
            <v>222.75</v>
          </cell>
          <cell r="AM75">
            <v>2004.75</v>
          </cell>
          <cell r="AN75">
            <v>3873.75</v>
          </cell>
        </row>
        <row r="76">
          <cell r="S76">
            <v>71</v>
          </cell>
          <cell r="T76">
            <v>0</v>
          </cell>
          <cell r="U76">
            <v>30</v>
          </cell>
          <cell r="V76">
            <v>1.5</v>
          </cell>
          <cell r="W76">
            <v>4.5</v>
          </cell>
          <cell r="X76">
            <v>9</v>
          </cell>
          <cell r="Y76">
            <v>1210</v>
          </cell>
          <cell r="Z76">
            <v>2410</v>
          </cell>
          <cell r="AA76">
            <v>0.25</v>
          </cell>
          <cell r="AB76">
            <v>452.5</v>
          </cell>
          <cell r="AC76">
            <v>678.75</v>
          </cell>
          <cell r="AD76">
            <v>605</v>
          </cell>
          <cell r="AE76">
            <v>1205</v>
          </cell>
          <cell r="AF76">
            <v>0.3</v>
          </cell>
          <cell r="AG76">
            <v>271.5</v>
          </cell>
          <cell r="AH76">
            <v>1221.75</v>
          </cell>
          <cell r="AI76">
            <v>303</v>
          </cell>
          <cell r="AJ76">
            <v>603</v>
          </cell>
          <cell r="AK76">
            <v>0.5</v>
          </cell>
          <cell r="AL76">
            <v>226.5</v>
          </cell>
          <cell r="AM76">
            <v>2038.5</v>
          </cell>
          <cell r="AN76">
            <v>3939</v>
          </cell>
        </row>
        <row r="77">
          <cell r="S77">
            <v>72</v>
          </cell>
          <cell r="T77">
            <v>0</v>
          </cell>
          <cell r="U77">
            <v>30</v>
          </cell>
          <cell r="V77">
            <v>1.5</v>
          </cell>
          <cell r="W77">
            <v>4.5</v>
          </cell>
          <cell r="X77">
            <v>9</v>
          </cell>
          <cell r="Y77">
            <v>1230</v>
          </cell>
          <cell r="Z77">
            <v>2450</v>
          </cell>
          <cell r="AA77">
            <v>0.25</v>
          </cell>
          <cell r="AB77">
            <v>460</v>
          </cell>
          <cell r="AC77">
            <v>690</v>
          </cell>
          <cell r="AD77">
            <v>615</v>
          </cell>
          <cell r="AE77">
            <v>1225</v>
          </cell>
          <cell r="AF77">
            <v>0.3</v>
          </cell>
          <cell r="AG77">
            <v>276</v>
          </cell>
          <cell r="AH77">
            <v>1242</v>
          </cell>
          <cell r="AI77">
            <v>308</v>
          </cell>
          <cell r="AJ77">
            <v>613</v>
          </cell>
          <cell r="AK77">
            <v>0.5</v>
          </cell>
          <cell r="AL77">
            <v>230.25</v>
          </cell>
          <cell r="AM77">
            <v>2072.25</v>
          </cell>
          <cell r="AN77">
            <v>4004.25</v>
          </cell>
        </row>
        <row r="78">
          <cell r="S78">
            <v>73</v>
          </cell>
          <cell r="T78">
            <v>0</v>
          </cell>
          <cell r="U78">
            <v>30</v>
          </cell>
          <cell r="V78">
            <v>1.5</v>
          </cell>
          <cell r="W78">
            <v>4.5</v>
          </cell>
          <cell r="X78">
            <v>9</v>
          </cell>
          <cell r="Y78">
            <v>1240</v>
          </cell>
          <cell r="Z78">
            <v>2480</v>
          </cell>
          <cell r="AA78">
            <v>0.25</v>
          </cell>
          <cell r="AB78">
            <v>465</v>
          </cell>
          <cell r="AC78">
            <v>697.5</v>
          </cell>
          <cell r="AD78">
            <v>620</v>
          </cell>
          <cell r="AE78">
            <v>1240</v>
          </cell>
          <cell r="AF78">
            <v>0.3</v>
          </cell>
          <cell r="AG78">
            <v>279</v>
          </cell>
          <cell r="AH78">
            <v>1255.5</v>
          </cell>
          <cell r="AI78">
            <v>310</v>
          </cell>
          <cell r="AJ78">
            <v>620</v>
          </cell>
          <cell r="AK78">
            <v>0.5</v>
          </cell>
          <cell r="AL78">
            <v>232.5</v>
          </cell>
          <cell r="AM78">
            <v>2092.5</v>
          </cell>
          <cell r="AN78">
            <v>4045.5</v>
          </cell>
        </row>
        <row r="79">
          <cell r="S79">
            <v>74</v>
          </cell>
          <cell r="T79">
            <v>0</v>
          </cell>
          <cell r="U79">
            <v>30</v>
          </cell>
          <cell r="V79">
            <v>1.5</v>
          </cell>
          <cell r="W79">
            <v>4.5</v>
          </cell>
          <cell r="X79">
            <v>9</v>
          </cell>
          <cell r="Y79">
            <v>1260</v>
          </cell>
          <cell r="Z79">
            <v>2520</v>
          </cell>
          <cell r="AA79">
            <v>0.25</v>
          </cell>
          <cell r="AB79">
            <v>472.5</v>
          </cell>
          <cell r="AC79">
            <v>708.75</v>
          </cell>
          <cell r="AD79">
            <v>630</v>
          </cell>
          <cell r="AE79">
            <v>1260</v>
          </cell>
          <cell r="AF79">
            <v>0.3</v>
          </cell>
          <cell r="AG79">
            <v>283.5</v>
          </cell>
          <cell r="AH79">
            <v>1275.75</v>
          </cell>
          <cell r="AI79">
            <v>315</v>
          </cell>
          <cell r="AJ79">
            <v>630</v>
          </cell>
          <cell r="AK79">
            <v>0.5</v>
          </cell>
          <cell r="AL79">
            <v>236.25</v>
          </cell>
          <cell r="AM79">
            <v>2126.25</v>
          </cell>
          <cell r="AN79">
            <v>4110.75</v>
          </cell>
        </row>
        <row r="80">
          <cell r="S80">
            <v>75</v>
          </cell>
          <cell r="T80">
            <v>0</v>
          </cell>
          <cell r="U80">
            <v>30</v>
          </cell>
          <cell r="V80">
            <v>1.5</v>
          </cell>
          <cell r="W80">
            <v>4.5</v>
          </cell>
          <cell r="X80">
            <v>9</v>
          </cell>
          <cell r="Y80">
            <v>1280</v>
          </cell>
          <cell r="Z80">
            <v>2550</v>
          </cell>
          <cell r="AA80">
            <v>0.25</v>
          </cell>
          <cell r="AB80">
            <v>478.75</v>
          </cell>
          <cell r="AC80">
            <v>718.125</v>
          </cell>
          <cell r="AD80">
            <v>640</v>
          </cell>
          <cell r="AE80">
            <v>1275</v>
          </cell>
          <cell r="AF80">
            <v>0.3</v>
          </cell>
          <cell r="AG80">
            <v>287.25</v>
          </cell>
          <cell r="AH80">
            <v>1292.625</v>
          </cell>
          <cell r="AI80">
            <v>320</v>
          </cell>
          <cell r="AJ80">
            <v>638</v>
          </cell>
          <cell r="AK80">
            <v>0.5</v>
          </cell>
          <cell r="AL80">
            <v>239.5</v>
          </cell>
          <cell r="AM80">
            <v>2155.5</v>
          </cell>
          <cell r="AN80">
            <v>4166.25</v>
          </cell>
        </row>
        <row r="81">
          <cell r="S81">
            <v>76</v>
          </cell>
          <cell r="T81">
            <v>0</v>
          </cell>
          <cell r="U81">
            <v>30</v>
          </cell>
          <cell r="V81">
            <v>1.5</v>
          </cell>
          <cell r="W81">
            <v>4.5</v>
          </cell>
          <cell r="X81">
            <v>9</v>
          </cell>
          <cell r="Y81">
            <v>1300</v>
          </cell>
          <cell r="Z81">
            <v>2590</v>
          </cell>
          <cell r="AA81">
            <v>0.25</v>
          </cell>
          <cell r="AB81">
            <v>486.25</v>
          </cell>
          <cell r="AC81">
            <v>729.375</v>
          </cell>
          <cell r="AD81">
            <v>650</v>
          </cell>
          <cell r="AE81">
            <v>1295</v>
          </cell>
          <cell r="AF81">
            <v>0.3</v>
          </cell>
          <cell r="AG81">
            <v>291.75</v>
          </cell>
          <cell r="AH81">
            <v>1312.875</v>
          </cell>
          <cell r="AI81">
            <v>325</v>
          </cell>
          <cell r="AJ81">
            <v>648</v>
          </cell>
          <cell r="AK81">
            <v>0.5</v>
          </cell>
          <cell r="AL81">
            <v>243.25</v>
          </cell>
          <cell r="AM81">
            <v>2189.25</v>
          </cell>
          <cell r="AN81">
            <v>4231.5</v>
          </cell>
        </row>
        <row r="82">
          <cell r="S82">
            <v>77</v>
          </cell>
          <cell r="T82">
            <v>0</v>
          </cell>
          <cell r="U82">
            <v>30</v>
          </cell>
          <cell r="V82">
            <v>1.5</v>
          </cell>
          <cell r="W82">
            <v>4.5</v>
          </cell>
          <cell r="X82">
            <v>9</v>
          </cell>
          <cell r="Y82">
            <v>1320</v>
          </cell>
          <cell r="Z82">
            <v>2630</v>
          </cell>
          <cell r="AA82">
            <v>0.25</v>
          </cell>
          <cell r="AB82">
            <v>493.75</v>
          </cell>
          <cell r="AC82">
            <v>740.625</v>
          </cell>
          <cell r="AD82">
            <v>660</v>
          </cell>
          <cell r="AE82">
            <v>1315</v>
          </cell>
          <cell r="AF82">
            <v>0.3</v>
          </cell>
          <cell r="AG82">
            <v>296.25</v>
          </cell>
          <cell r="AH82">
            <v>1333.125</v>
          </cell>
          <cell r="AI82">
            <v>330</v>
          </cell>
          <cell r="AJ82">
            <v>658</v>
          </cell>
          <cell r="AK82">
            <v>0.5</v>
          </cell>
          <cell r="AL82">
            <v>247</v>
          </cell>
          <cell r="AM82">
            <v>2223</v>
          </cell>
          <cell r="AN82">
            <v>4296.75</v>
          </cell>
        </row>
        <row r="83">
          <cell r="S83">
            <v>78</v>
          </cell>
          <cell r="T83">
            <v>0</v>
          </cell>
          <cell r="U83">
            <v>30</v>
          </cell>
          <cell r="V83">
            <v>1.5</v>
          </cell>
          <cell r="W83">
            <v>4.5</v>
          </cell>
          <cell r="X83">
            <v>9</v>
          </cell>
          <cell r="Y83">
            <v>1330</v>
          </cell>
          <cell r="Z83">
            <v>2660</v>
          </cell>
          <cell r="AA83">
            <v>0.25</v>
          </cell>
          <cell r="AB83">
            <v>498.75</v>
          </cell>
          <cell r="AC83">
            <v>748.125</v>
          </cell>
          <cell r="AD83">
            <v>665</v>
          </cell>
          <cell r="AE83">
            <v>1330</v>
          </cell>
          <cell r="AF83">
            <v>0.3</v>
          </cell>
          <cell r="AG83">
            <v>299.25</v>
          </cell>
          <cell r="AH83">
            <v>1346.625</v>
          </cell>
          <cell r="AI83">
            <v>333</v>
          </cell>
          <cell r="AJ83">
            <v>665</v>
          </cell>
          <cell r="AK83">
            <v>0.5</v>
          </cell>
          <cell r="AL83">
            <v>249.5</v>
          </cell>
          <cell r="AM83">
            <v>2245.5</v>
          </cell>
          <cell r="AN83">
            <v>4340.25</v>
          </cell>
        </row>
        <row r="84">
          <cell r="S84">
            <v>79</v>
          </cell>
          <cell r="T84">
            <v>0</v>
          </cell>
          <cell r="U84">
            <v>30</v>
          </cell>
          <cell r="V84">
            <v>1.5</v>
          </cell>
          <cell r="W84">
            <v>4.5</v>
          </cell>
          <cell r="X84">
            <v>9</v>
          </cell>
          <cell r="Y84">
            <v>1350</v>
          </cell>
          <cell r="Z84">
            <v>2700</v>
          </cell>
          <cell r="AA84">
            <v>0.25</v>
          </cell>
          <cell r="AB84">
            <v>506.25</v>
          </cell>
          <cell r="AC84">
            <v>759.375</v>
          </cell>
          <cell r="AD84">
            <v>675</v>
          </cell>
          <cell r="AE84">
            <v>1350</v>
          </cell>
          <cell r="AF84">
            <v>0.3</v>
          </cell>
          <cell r="AG84">
            <v>303.75</v>
          </cell>
          <cell r="AH84">
            <v>1366.875</v>
          </cell>
          <cell r="AI84">
            <v>338</v>
          </cell>
          <cell r="AJ84">
            <v>675</v>
          </cell>
          <cell r="AK84">
            <v>0.5</v>
          </cell>
          <cell r="AL84">
            <v>253.25</v>
          </cell>
          <cell r="AM84">
            <v>2279.25</v>
          </cell>
          <cell r="AN84">
            <v>4405.5</v>
          </cell>
        </row>
        <row r="85">
          <cell r="S85">
            <v>80</v>
          </cell>
          <cell r="T85">
            <v>0</v>
          </cell>
          <cell r="U85">
            <v>30</v>
          </cell>
          <cell r="V85">
            <v>1.5</v>
          </cell>
          <cell r="W85">
            <v>4.5</v>
          </cell>
          <cell r="X85">
            <v>9</v>
          </cell>
          <cell r="Y85">
            <v>1370</v>
          </cell>
          <cell r="Z85">
            <v>2730</v>
          </cell>
          <cell r="AA85">
            <v>0.25</v>
          </cell>
          <cell r="AB85">
            <v>512.5</v>
          </cell>
          <cell r="AC85">
            <v>768.75</v>
          </cell>
          <cell r="AD85">
            <v>685</v>
          </cell>
          <cell r="AE85">
            <v>1365</v>
          </cell>
          <cell r="AF85">
            <v>0.3</v>
          </cell>
          <cell r="AG85">
            <v>307.5</v>
          </cell>
          <cell r="AH85">
            <v>1383.75</v>
          </cell>
          <cell r="AI85">
            <v>343</v>
          </cell>
          <cell r="AJ85">
            <v>683</v>
          </cell>
          <cell r="AK85">
            <v>0.5</v>
          </cell>
          <cell r="AL85">
            <v>256.5</v>
          </cell>
          <cell r="AM85">
            <v>2308.5</v>
          </cell>
          <cell r="AN85">
            <v>4461</v>
          </cell>
        </row>
        <row r="86">
          <cell r="S86">
            <v>81</v>
          </cell>
          <cell r="T86">
            <v>0</v>
          </cell>
          <cell r="U86">
            <v>30</v>
          </cell>
          <cell r="V86">
            <v>1.5</v>
          </cell>
          <cell r="W86">
            <v>4.5</v>
          </cell>
          <cell r="X86">
            <v>9</v>
          </cell>
          <cell r="Y86">
            <v>1390</v>
          </cell>
          <cell r="Z86">
            <v>2770</v>
          </cell>
          <cell r="AA86">
            <v>0.25</v>
          </cell>
          <cell r="AB86">
            <v>520</v>
          </cell>
          <cell r="AC86">
            <v>780</v>
          </cell>
          <cell r="AD86">
            <v>695</v>
          </cell>
          <cell r="AE86">
            <v>1385</v>
          </cell>
          <cell r="AF86">
            <v>0.3</v>
          </cell>
          <cell r="AG86">
            <v>312</v>
          </cell>
          <cell r="AH86">
            <v>1404</v>
          </cell>
          <cell r="AI86">
            <v>348</v>
          </cell>
          <cell r="AJ86">
            <v>693</v>
          </cell>
          <cell r="AK86">
            <v>0.5</v>
          </cell>
          <cell r="AL86">
            <v>260.25</v>
          </cell>
          <cell r="AM86">
            <v>2342.25</v>
          </cell>
          <cell r="AN86">
            <v>4526.25</v>
          </cell>
        </row>
        <row r="87">
          <cell r="S87">
            <v>82</v>
          </cell>
          <cell r="T87">
            <v>0</v>
          </cell>
          <cell r="U87">
            <v>30</v>
          </cell>
          <cell r="V87">
            <v>1.5</v>
          </cell>
          <cell r="W87">
            <v>4.5</v>
          </cell>
          <cell r="X87">
            <v>9</v>
          </cell>
          <cell r="Y87">
            <v>1410</v>
          </cell>
          <cell r="Z87">
            <v>2810</v>
          </cell>
          <cell r="AA87">
            <v>0.25</v>
          </cell>
          <cell r="AB87">
            <v>527.5</v>
          </cell>
          <cell r="AC87">
            <v>791.25</v>
          </cell>
          <cell r="AD87">
            <v>705</v>
          </cell>
          <cell r="AE87">
            <v>1405</v>
          </cell>
          <cell r="AF87">
            <v>0.3</v>
          </cell>
          <cell r="AG87">
            <v>316.5</v>
          </cell>
          <cell r="AH87">
            <v>1424.25</v>
          </cell>
          <cell r="AI87">
            <v>353</v>
          </cell>
          <cell r="AJ87">
            <v>703</v>
          </cell>
          <cell r="AK87">
            <v>0.5</v>
          </cell>
          <cell r="AL87">
            <v>264</v>
          </cell>
          <cell r="AM87">
            <v>2376</v>
          </cell>
          <cell r="AN87">
            <v>4591.5</v>
          </cell>
        </row>
        <row r="88">
          <cell r="S88">
            <v>83</v>
          </cell>
          <cell r="T88">
            <v>0</v>
          </cell>
          <cell r="U88">
            <v>30</v>
          </cell>
          <cell r="V88">
            <v>1.5</v>
          </cell>
          <cell r="W88">
            <v>4.5</v>
          </cell>
          <cell r="X88">
            <v>9</v>
          </cell>
          <cell r="Y88">
            <v>1420</v>
          </cell>
          <cell r="Z88">
            <v>2840</v>
          </cell>
          <cell r="AA88">
            <v>0.25</v>
          </cell>
          <cell r="AB88">
            <v>532.5</v>
          </cell>
          <cell r="AC88">
            <v>798.75</v>
          </cell>
          <cell r="AD88">
            <v>710</v>
          </cell>
          <cell r="AE88">
            <v>1420</v>
          </cell>
          <cell r="AF88">
            <v>0.3</v>
          </cell>
          <cell r="AG88">
            <v>319.5</v>
          </cell>
          <cell r="AH88">
            <v>1437.75</v>
          </cell>
          <cell r="AI88">
            <v>355</v>
          </cell>
          <cell r="AJ88">
            <v>710</v>
          </cell>
          <cell r="AK88">
            <v>0.5</v>
          </cell>
          <cell r="AL88">
            <v>266.25</v>
          </cell>
          <cell r="AM88">
            <v>2396.25</v>
          </cell>
          <cell r="AN88">
            <v>4632.75</v>
          </cell>
        </row>
        <row r="89">
          <cell r="S89">
            <v>84</v>
          </cell>
          <cell r="T89">
            <v>0</v>
          </cell>
          <cell r="U89">
            <v>30</v>
          </cell>
          <cell r="V89">
            <v>1.5</v>
          </cell>
          <cell r="W89">
            <v>4.5</v>
          </cell>
          <cell r="X89">
            <v>9</v>
          </cell>
          <cell r="Y89">
            <v>1440</v>
          </cell>
          <cell r="Z89">
            <v>2880</v>
          </cell>
          <cell r="AA89">
            <v>0.25</v>
          </cell>
          <cell r="AB89">
            <v>540</v>
          </cell>
          <cell r="AC89">
            <v>810</v>
          </cell>
          <cell r="AD89">
            <v>720</v>
          </cell>
          <cell r="AE89">
            <v>1440</v>
          </cell>
          <cell r="AF89">
            <v>0.3</v>
          </cell>
          <cell r="AG89">
            <v>324</v>
          </cell>
          <cell r="AH89">
            <v>1458</v>
          </cell>
          <cell r="AI89">
            <v>360</v>
          </cell>
          <cell r="AJ89">
            <v>720</v>
          </cell>
          <cell r="AK89">
            <v>0.5</v>
          </cell>
          <cell r="AL89">
            <v>270</v>
          </cell>
          <cell r="AM89">
            <v>2430</v>
          </cell>
          <cell r="AN89">
            <v>4698</v>
          </cell>
        </row>
        <row r="90">
          <cell r="S90">
            <v>85</v>
          </cell>
          <cell r="T90">
            <v>0</v>
          </cell>
          <cell r="U90">
            <v>30</v>
          </cell>
          <cell r="V90">
            <v>1.5</v>
          </cell>
          <cell r="W90">
            <v>4.5</v>
          </cell>
          <cell r="X90">
            <v>9</v>
          </cell>
          <cell r="Y90">
            <v>1460</v>
          </cell>
          <cell r="Z90">
            <v>2910</v>
          </cell>
          <cell r="AA90">
            <v>0.25</v>
          </cell>
          <cell r="AB90">
            <v>546.25</v>
          </cell>
          <cell r="AC90">
            <v>819.375</v>
          </cell>
          <cell r="AD90">
            <v>730</v>
          </cell>
          <cell r="AE90">
            <v>1455</v>
          </cell>
          <cell r="AF90">
            <v>0.3</v>
          </cell>
          <cell r="AG90">
            <v>327.75</v>
          </cell>
          <cell r="AH90">
            <v>1474.875</v>
          </cell>
          <cell r="AI90">
            <v>365</v>
          </cell>
          <cell r="AJ90">
            <v>728</v>
          </cell>
          <cell r="AK90">
            <v>0.5</v>
          </cell>
          <cell r="AL90">
            <v>273.25</v>
          </cell>
          <cell r="AM90">
            <v>2459.25</v>
          </cell>
          <cell r="AN90">
            <v>4753.5</v>
          </cell>
        </row>
        <row r="91">
          <cell r="S91">
            <v>86</v>
          </cell>
          <cell r="T91">
            <v>0</v>
          </cell>
          <cell r="U91">
            <v>30</v>
          </cell>
          <cell r="V91">
            <v>1.5</v>
          </cell>
          <cell r="W91">
            <v>4.5</v>
          </cell>
          <cell r="X91">
            <v>9</v>
          </cell>
          <cell r="Y91">
            <v>1480</v>
          </cell>
          <cell r="Z91">
            <v>2950</v>
          </cell>
          <cell r="AA91">
            <v>0.25</v>
          </cell>
          <cell r="AB91">
            <v>553.75</v>
          </cell>
          <cell r="AC91">
            <v>830.625</v>
          </cell>
          <cell r="AD91">
            <v>740</v>
          </cell>
          <cell r="AE91">
            <v>1475</v>
          </cell>
          <cell r="AF91">
            <v>0.3</v>
          </cell>
          <cell r="AG91">
            <v>332.25</v>
          </cell>
          <cell r="AH91">
            <v>1495.125</v>
          </cell>
          <cell r="AI91">
            <v>370</v>
          </cell>
          <cell r="AJ91">
            <v>738</v>
          </cell>
          <cell r="AK91">
            <v>0.5</v>
          </cell>
          <cell r="AL91">
            <v>277</v>
          </cell>
          <cell r="AM91">
            <v>2493</v>
          </cell>
          <cell r="AN91">
            <v>4818.75</v>
          </cell>
        </row>
        <row r="92">
          <cell r="S92">
            <v>87</v>
          </cell>
          <cell r="T92">
            <v>0</v>
          </cell>
          <cell r="U92">
            <v>30</v>
          </cell>
          <cell r="V92">
            <v>1.5</v>
          </cell>
          <cell r="W92">
            <v>4.5</v>
          </cell>
          <cell r="X92">
            <v>9</v>
          </cell>
          <cell r="Y92">
            <v>1500</v>
          </cell>
          <cell r="Z92">
            <v>2990</v>
          </cell>
          <cell r="AA92">
            <v>0.25</v>
          </cell>
          <cell r="AB92">
            <v>561.25</v>
          </cell>
          <cell r="AC92">
            <v>841.875</v>
          </cell>
          <cell r="AD92">
            <v>750</v>
          </cell>
          <cell r="AE92">
            <v>1495</v>
          </cell>
          <cell r="AF92">
            <v>0.3</v>
          </cell>
          <cell r="AG92">
            <v>336.75</v>
          </cell>
          <cell r="AH92">
            <v>1515.375</v>
          </cell>
          <cell r="AI92">
            <v>375</v>
          </cell>
          <cell r="AJ92">
            <v>748</v>
          </cell>
          <cell r="AK92">
            <v>0.5</v>
          </cell>
          <cell r="AL92">
            <v>280.75</v>
          </cell>
          <cell r="AM92">
            <v>2526.75</v>
          </cell>
          <cell r="AN92">
            <v>4884</v>
          </cell>
        </row>
        <row r="93">
          <cell r="S93">
            <v>88</v>
          </cell>
          <cell r="T93">
            <v>0</v>
          </cell>
          <cell r="U93">
            <v>30</v>
          </cell>
          <cell r="V93">
            <v>1.5</v>
          </cell>
          <cell r="W93">
            <v>4.5</v>
          </cell>
          <cell r="X93">
            <v>9</v>
          </cell>
          <cell r="Y93">
            <v>1510</v>
          </cell>
          <cell r="Z93">
            <v>3020</v>
          </cell>
          <cell r="AA93">
            <v>0.25</v>
          </cell>
          <cell r="AB93">
            <v>566.25</v>
          </cell>
          <cell r="AC93">
            <v>849.375</v>
          </cell>
          <cell r="AD93">
            <v>755</v>
          </cell>
          <cell r="AE93">
            <v>1510</v>
          </cell>
          <cell r="AF93">
            <v>0.3</v>
          </cell>
          <cell r="AG93">
            <v>339.75</v>
          </cell>
          <cell r="AH93">
            <v>1528.875</v>
          </cell>
          <cell r="AI93">
            <v>378</v>
          </cell>
          <cell r="AJ93">
            <v>755</v>
          </cell>
          <cell r="AK93">
            <v>0.5</v>
          </cell>
          <cell r="AL93">
            <v>283.25</v>
          </cell>
          <cell r="AM93">
            <v>2549.25</v>
          </cell>
          <cell r="AN93">
            <v>4927.5</v>
          </cell>
        </row>
        <row r="94">
          <cell r="S94">
            <v>89</v>
          </cell>
          <cell r="T94">
            <v>0</v>
          </cell>
          <cell r="U94">
            <v>30</v>
          </cell>
          <cell r="V94">
            <v>1.5</v>
          </cell>
          <cell r="W94">
            <v>4.5</v>
          </cell>
          <cell r="X94">
            <v>9</v>
          </cell>
          <cell r="Y94">
            <v>1530</v>
          </cell>
          <cell r="Z94">
            <v>3060</v>
          </cell>
          <cell r="AA94">
            <v>0.25</v>
          </cell>
          <cell r="AB94">
            <v>573.75</v>
          </cell>
          <cell r="AC94">
            <v>860.625</v>
          </cell>
          <cell r="AD94">
            <v>765</v>
          </cell>
          <cell r="AE94">
            <v>1530</v>
          </cell>
          <cell r="AF94">
            <v>0.3</v>
          </cell>
          <cell r="AG94">
            <v>344.25</v>
          </cell>
          <cell r="AH94">
            <v>1549.125</v>
          </cell>
          <cell r="AI94">
            <v>383</v>
          </cell>
          <cell r="AJ94">
            <v>765</v>
          </cell>
          <cell r="AK94">
            <v>0.5</v>
          </cell>
          <cell r="AL94">
            <v>287</v>
          </cell>
          <cell r="AM94">
            <v>2583</v>
          </cell>
          <cell r="AN94">
            <v>4992.75</v>
          </cell>
        </row>
        <row r="95">
          <cell r="S95">
            <v>90</v>
          </cell>
          <cell r="T95">
            <v>0</v>
          </cell>
          <cell r="U95">
            <v>30</v>
          </cell>
          <cell r="V95">
            <v>1.5</v>
          </cell>
          <cell r="W95">
            <v>4.5</v>
          </cell>
          <cell r="X95">
            <v>9</v>
          </cell>
          <cell r="Y95">
            <v>1550</v>
          </cell>
          <cell r="Z95">
            <v>3090</v>
          </cell>
          <cell r="AA95">
            <v>0.25</v>
          </cell>
          <cell r="AB95">
            <v>580</v>
          </cell>
          <cell r="AC95">
            <v>870</v>
          </cell>
          <cell r="AD95">
            <v>775</v>
          </cell>
          <cell r="AE95">
            <v>1545</v>
          </cell>
          <cell r="AF95">
            <v>0.3</v>
          </cell>
          <cell r="AG95">
            <v>348</v>
          </cell>
          <cell r="AH95">
            <v>1566</v>
          </cell>
          <cell r="AI95">
            <v>388</v>
          </cell>
          <cell r="AJ95">
            <v>773</v>
          </cell>
          <cell r="AK95">
            <v>0.5</v>
          </cell>
          <cell r="AL95">
            <v>290.25</v>
          </cell>
          <cell r="AM95">
            <v>2612.25</v>
          </cell>
          <cell r="AN95">
            <v>5048.25</v>
          </cell>
        </row>
        <row r="96">
          <cell r="S96">
            <v>91</v>
          </cell>
          <cell r="T96">
            <v>0</v>
          </cell>
          <cell r="U96">
            <v>30</v>
          </cell>
          <cell r="V96">
            <v>1.5</v>
          </cell>
          <cell r="W96">
            <v>4.5</v>
          </cell>
          <cell r="X96">
            <v>9</v>
          </cell>
          <cell r="Y96">
            <v>1570</v>
          </cell>
          <cell r="Z96">
            <v>3130</v>
          </cell>
          <cell r="AA96">
            <v>0.25</v>
          </cell>
          <cell r="AB96">
            <v>587.5</v>
          </cell>
          <cell r="AC96">
            <v>881.25</v>
          </cell>
          <cell r="AD96">
            <v>785</v>
          </cell>
          <cell r="AE96">
            <v>1565</v>
          </cell>
          <cell r="AF96">
            <v>0.3</v>
          </cell>
          <cell r="AG96">
            <v>352.5</v>
          </cell>
          <cell r="AH96">
            <v>1586.25</v>
          </cell>
          <cell r="AI96">
            <v>393</v>
          </cell>
          <cell r="AJ96">
            <v>783</v>
          </cell>
          <cell r="AK96">
            <v>0.5</v>
          </cell>
          <cell r="AL96">
            <v>294</v>
          </cell>
          <cell r="AM96">
            <v>2646</v>
          </cell>
          <cell r="AN96">
            <v>5113.5</v>
          </cell>
        </row>
        <row r="97">
          <cell r="S97">
            <v>92</v>
          </cell>
          <cell r="T97">
            <v>0</v>
          </cell>
          <cell r="U97">
            <v>30</v>
          </cell>
          <cell r="V97">
            <v>1.5</v>
          </cell>
          <cell r="W97">
            <v>4.5</v>
          </cell>
          <cell r="X97">
            <v>9</v>
          </cell>
          <cell r="Y97">
            <v>1590</v>
          </cell>
          <cell r="Z97">
            <v>3170</v>
          </cell>
          <cell r="AA97">
            <v>0.25</v>
          </cell>
          <cell r="AB97">
            <v>595</v>
          </cell>
          <cell r="AC97">
            <v>892.5</v>
          </cell>
          <cell r="AD97">
            <v>795</v>
          </cell>
          <cell r="AE97">
            <v>1585</v>
          </cell>
          <cell r="AF97">
            <v>0.3</v>
          </cell>
          <cell r="AG97">
            <v>357</v>
          </cell>
          <cell r="AH97">
            <v>1606.5</v>
          </cell>
          <cell r="AI97">
            <v>398</v>
          </cell>
          <cell r="AJ97">
            <v>793</v>
          </cell>
          <cell r="AK97">
            <v>0.5</v>
          </cell>
          <cell r="AL97">
            <v>297.75</v>
          </cell>
          <cell r="AM97">
            <v>2679.75</v>
          </cell>
          <cell r="AN97">
            <v>5178.75</v>
          </cell>
        </row>
        <row r="98">
          <cell r="S98">
            <v>93</v>
          </cell>
          <cell r="T98">
            <v>0</v>
          </cell>
          <cell r="U98">
            <v>30</v>
          </cell>
          <cell r="V98">
            <v>1.5</v>
          </cell>
          <cell r="W98">
            <v>4.5</v>
          </cell>
          <cell r="X98">
            <v>9</v>
          </cell>
          <cell r="Y98">
            <v>1600</v>
          </cell>
          <cell r="Z98">
            <v>3200</v>
          </cell>
          <cell r="AA98">
            <v>0.25</v>
          </cell>
          <cell r="AB98">
            <v>600</v>
          </cell>
          <cell r="AC98">
            <v>900</v>
          </cell>
          <cell r="AD98">
            <v>800</v>
          </cell>
          <cell r="AE98">
            <v>1600</v>
          </cell>
          <cell r="AF98">
            <v>0.3</v>
          </cell>
          <cell r="AG98">
            <v>360</v>
          </cell>
          <cell r="AH98">
            <v>1620</v>
          </cell>
          <cell r="AI98">
            <v>400</v>
          </cell>
          <cell r="AJ98">
            <v>800</v>
          </cell>
          <cell r="AK98">
            <v>0.5</v>
          </cell>
          <cell r="AL98">
            <v>300</v>
          </cell>
          <cell r="AM98">
            <v>2700</v>
          </cell>
          <cell r="AN98">
            <v>5220</v>
          </cell>
        </row>
        <row r="99">
          <cell r="S99">
            <v>94</v>
          </cell>
          <cell r="T99">
            <v>0</v>
          </cell>
          <cell r="U99">
            <v>30</v>
          </cell>
          <cell r="V99">
            <v>1.5</v>
          </cell>
          <cell r="W99">
            <v>4.5</v>
          </cell>
          <cell r="X99">
            <v>9</v>
          </cell>
          <cell r="Y99">
            <v>1620</v>
          </cell>
          <cell r="Z99">
            <v>3240</v>
          </cell>
          <cell r="AA99">
            <v>0.25</v>
          </cell>
          <cell r="AB99">
            <v>607.5</v>
          </cell>
          <cell r="AC99">
            <v>911.25</v>
          </cell>
          <cell r="AD99">
            <v>810</v>
          </cell>
          <cell r="AE99">
            <v>1620</v>
          </cell>
          <cell r="AF99">
            <v>0.3</v>
          </cell>
          <cell r="AG99">
            <v>364.5</v>
          </cell>
          <cell r="AH99">
            <v>1640.25</v>
          </cell>
          <cell r="AI99">
            <v>405</v>
          </cell>
          <cell r="AJ99">
            <v>810</v>
          </cell>
          <cell r="AK99">
            <v>0.5</v>
          </cell>
          <cell r="AL99">
            <v>303.75</v>
          </cell>
          <cell r="AM99">
            <v>2733.75</v>
          </cell>
          <cell r="AN99">
            <v>5285.25</v>
          </cell>
        </row>
        <row r="100">
          <cell r="S100">
            <v>95</v>
          </cell>
          <cell r="T100">
            <v>0</v>
          </cell>
          <cell r="U100">
            <v>30</v>
          </cell>
          <cell r="V100">
            <v>1.5</v>
          </cell>
          <cell r="W100">
            <v>4.5</v>
          </cell>
          <cell r="X100">
            <v>9</v>
          </cell>
          <cell r="Y100">
            <v>1640</v>
          </cell>
          <cell r="Z100">
            <v>3270</v>
          </cell>
          <cell r="AA100">
            <v>0.25</v>
          </cell>
          <cell r="AB100">
            <v>613.75</v>
          </cell>
          <cell r="AC100">
            <v>920.625</v>
          </cell>
          <cell r="AD100">
            <v>820</v>
          </cell>
          <cell r="AE100">
            <v>1635</v>
          </cell>
          <cell r="AF100">
            <v>0.3</v>
          </cell>
          <cell r="AG100">
            <v>368.25</v>
          </cell>
          <cell r="AH100">
            <v>1657.125</v>
          </cell>
          <cell r="AI100">
            <v>410</v>
          </cell>
          <cell r="AJ100">
            <v>818</v>
          </cell>
          <cell r="AK100">
            <v>0.5</v>
          </cell>
          <cell r="AL100">
            <v>307</v>
          </cell>
          <cell r="AM100">
            <v>2763</v>
          </cell>
          <cell r="AN100">
            <v>5340.75</v>
          </cell>
        </row>
        <row r="101">
          <cell r="S101">
            <v>96</v>
          </cell>
          <cell r="T101">
            <v>0</v>
          </cell>
          <cell r="U101">
            <v>30</v>
          </cell>
          <cell r="V101">
            <v>1.5</v>
          </cell>
          <cell r="W101">
            <v>4.5</v>
          </cell>
          <cell r="X101">
            <v>9</v>
          </cell>
          <cell r="Y101">
            <v>1660</v>
          </cell>
          <cell r="Z101">
            <v>3310</v>
          </cell>
          <cell r="AA101">
            <v>0.25</v>
          </cell>
          <cell r="AB101">
            <v>621.25</v>
          </cell>
          <cell r="AC101">
            <v>931.875</v>
          </cell>
          <cell r="AD101">
            <v>830</v>
          </cell>
          <cell r="AE101">
            <v>1655</v>
          </cell>
          <cell r="AF101">
            <v>0.3</v>
          </cell>
          <cell r="AG101">
            <v>372.75</v>
          </cell>
          <cell r="AH101">
            <v>1677.375</v>
          </cell>
          <cell r="AI101">
            <v>415</v>
          </cell>
          <cell r="AJ101">
            <v>828</v>
          </cell>
          <cell r="AK101">
            <v>0.5</v>
          </cell>
          <cell r="AL101">
            <v>310.75</v>
          </cell>
          <cell r="AM101">
            <v>2796.75</v>
          </cell>
          <cell r="AN101">
            <v>5406</v>
          </cell>
        </row>
        <row r="102">
          <cell r="S102">
            <v>97</v>
          </cell>
          <cell r="T102">
            <v>0</v>
          </cell>
          <cell r="U102">
            <v>30</v>
          </cell>
          <cell r="V102">
            <v>1.5</v>
          </cell>
          <cell r="W102">
            <v>4.5</v>
          </cell>
          <cell r="X102">
            <v>9</v>
          </cell>
          <cell r="Y102">
            <v>1680</v>
          </cell>
          <cell r="Z102">
            <v>3350</v>
          </cell>
          <cell r="AA102">
            <v>0.25</v>
          </cell>
          <cell r="AB102">
            <v>628.75</v>
          </cell>
          <cell r="AC102">
            <v>943.125</v>
          </cell>
          <cell r="AD102">
            <v>840</v>
          </cell>
          <cell r="AE102">
            <v>1675</v>
          </cell>
          <cell r="AF102">
            <v>0.3</v>
          </cell>
          <cell r="AG102">
            <v>377.25</v>
          </cell>
          <cell r="AH102">
            <v>1697.625</v>
          </cell>
          <cell r="AI102">
            <v>420</v>
          </cell>
          <cell r="AJ102">
            <v>838</v>
          </cell>
          <cell r="AK102">
            <v>0.5</v>
          </cell>
          <cell r="AL102">
            <v>314.5</v>
          </cell>
          <cell r="AM102">
            <v>2830.5</v>
          </cell>
          <cell r="AN102">
            <v>5471.25</v>
          </cell>
        </row>
        <row r="103">
          <cell r="S103">
            <v>98</v>
          </cell>
          <cell r="T103">
            <v>0</v>
          </cell>
          <cell r="U103">
            <v>30</v>
          </cell>
          <cell r="V103">
            <v>1.5</v>
          </cell>
          <cell r="W103">
            <v>4.5</v>
          </cell>
          <cell r="X103">
            <v>9</v>
          </cell>
          <cell r="Y103">
            <v>1690</v>
          </cell>
          <cell r="Z103">
            <v>3380</v>
          </cell>
          <cell r="AA103">
            <v>0.25</v>
          </cell>
          <cell r="AB103">
            <v>633.75</v>
          </cell>
          <cell r="AC103">
            <v>950.625</v>
          </cell>
          <cell r="AD103">
            <v>845</v>
          </cell>
          <cell r="AE103">
            <v>1690</v>
          </cell>
          <cell r="AF103">
            <v>0.3</v>
          </cell>
          <cell r="AG103">
            <v>380.25</v>
          </cell>
          <cell r="AH103">
            <v>1711.125</v>
          </cell>
          <cell r="AI103">
            <v>423</v>
          </cell>
          <cell r="AJ103">
            <v>845</v>
          </cell>
          <cell r="AK103">
            <v>0.5</v>
          </cell>
          <cell r="AL103">
            <v>317</v>
          </cell>
          <cell r="AM103">
            <v>2853</v>
          </cell>
          <cell r="AN103">
            <v>5514.75</v>
          </cell>
        </row>
        <row r="104">
          <cell r="S104">
            <v>99</v>
          </cell>
          <cell r="T104">
            <v>0</v>
          </cell>
          <cell r="U104">
            <v>30</v>
          </cell>
          <cell r="V104">
            <v>1.5</v>
          </cell>
          <cell r="W104">
            <v>4.5</v>
          </cell>
          <cell r="X104">
            <v>9</v>
          </cell>
          <cell r="Y104">
            <v>1710</v>
          </cell>
          <cell r="Z104">
            <v>3420</v>
          </cell>
          <cell r="AA104">
            <v>0.25</v>
          </cell>
          <cell r="AB104">
            <v>641.25</v>
          </cell>
          <cell r="AC104">
            <v>961.875</v>
          </cell>
          <cell r="AD104">
            <v>855</v>
          </cell>
          <cell r="AE104">
            <v>1710</v>
          </cell>
          <cell r="AF104">
            <v>0.3</v>
          </cell>
          <cell r="AG104">
            <v>384.75</v>
          </cell>
          <cell r="AH104">
            <v>1731.375</v>
          </cell>
          <cell r="AI104">
            <v>428</v>
          </cell>
          <cell r="AJ104">
            <v>855</v>
          </cell>
          <cell r="AK104">
            <v>0.5</v>
          </cell>
          <cell r="AL104">
            <v>320.75</v>
          </cell>
          <cell r="AM104">
            <v>2886.75</v>
          </cell>
          <cell r="AN104">
            <v>5580</v>
          </cell>
        </row>
        <row r="105">
          <cell r="S105">
            <v>100</v>
          </cell>
          <cell r="T105">
            <v>0</v>
          </cell>
          <cell r="U105">
            <v>30</v>
          </cell>
          <cell r="V105">
            <v>1.5</v>
          </cell>
          <cell r="W105">
            <v>4.5</v>
          </cell>
          <cell r="X105">
            <v>9</v>
          </cell>
          <cell r="Y105">
            <v>1730</v>
          </cell>
          <cell r="Z105">
            <v>3450</v>
          </cell>
          <cell r="AA105">
            <v>0.25</v>
          </cell>
          <cell r="AB105">
            <v>647.5</v>
          </cell>
          <cell r="AC105">
            <v>971.25</v>
          </cell>
          <cell r="AD105">
            <v>865</v>
          </cell>
          <cell r="AE105">
            <v>1725</v>
          </cell>
          <cell r="AF105">
            <v>0.3</v>
          </cell>
          <cell r="AG105">
            <v>388.5</v>
          </cell>
          <cell r="AH105">
            <v>1748.25</v>
          </cell>
          <cell r="AI105">
            <v>433</v>
          </cell>
          <cell r="AJ105">
            <v>863</v>
          </cell>
          <cell r="AK105">
            <v>0.5</v>
          </cell>
          <cell r="AL105">
            <v>324</v>
          </cell>
          <cell r="AM105">
            <v>2916</v>
          </cell>
          <cell r="AN105">
            <v>5635.5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7AD936-648E-4070-A950-E7A757E6C8FB}" name="표1_356" displayName="표1_356" ref="A4:E14" totalsRowShown="0" headerRowDxfId="32" dataDxfId="31">
  <autoFilter ref="A4:E14" xr:uid="{692D5351-4E9B-4671-A4D8-32E7F54315E3}"/>
  <tableColumns count="5">
    <tableColumn id="1" xr3:uid="{F84C0357-A187-4646-810A-C2AD07548F3E}" name="열1" dataDxfId="30"/>
    <tableColumn id="2" xr3:uid="{CC5AC83C-26AA-4483-B505-237D64464BD2}" name="열2" dataDxfId="29"/>
    <tableColumn id="4" xr3:uid="{9380074B-E159-49CE-954F-A793501174D8}" name="열22" dataDxfId="28">
      <calculatedColumnFormula>IF(표1_356[[#This Row],[열2]]="","",""""&amp; INDEX(#REF!,MATCH(표1_356[[#This Row],[열2]],#REF!,0)) &amp;"""")</calculatedColumnFormula>
    </tableColumn>
    <tableColumn id="3" xr3:uid="{9B28B4D3-08FA-43A4-BA38-BA465A44EA4E}" name="열3" dataDxfId="27"/>
    <tableColumn id="6" xr3:uid="{86239D11-CE09-4C04-BE2E-AE9D9525A6C0}" name="열6" dataDxfId="2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8AB6A6-9066-4822-823A-C860171BFDB5}" name="표1_35" displayName="표1_35" ref="A4:F14" totalsRowShown="0" headerRowDxfId="25" dataDxfId="24">
  <autoFilter ref="A4:F14" xr:uid="{692D5351-4E9B-4671-A4D8-32E7F54315E3}"/>
  <tableColumns count="6">
    <tableColumn id="1" xr3:uid="{511229FF-5E5A-439C-AF3B-AB0322317C0F}" name="열1" dataDxfId="23"/>
    <tableColumn id="2" xr3:uid="{E9F0B34C-4577-400D-970D-AA9D43B06DEE}" name="열2" dataDxfId="22"/>
    <tableColumn id="11" xr3:uid="{6B383ED6-4C35-4F0A-8E8D-E9DA4F4D7B49}" name="열22" dataDxfId="21"/>
    <tableColumn id="3" xr3:uid="{D68616B2-EE32-4C35-939C-5DE1945361F0}" name="열3" dataDxfId="20"/>
    <tableColumn id="4" xr3:uid="{BE8944A9-AE09-4C19-983C-A5685A9269C8}" name="열4" dataDxfId="19"/>
    <tableColumn id="6" xr3:uid="{ED66DDE7-E8C3-47BD-99FB-71EA1C82F315}" name="열6" dataDxfId="1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5177D2-A878-482D-9AFF-C8F1759AB51C}" name="표1_3792713251324" displayName="표1_3792713251324" ref="A4:I185" totalsRowShown="0" headerRowDxfId="10" dataDxfId="9">
  <tableColumns count="9">
    <tableColumn id="1" xr3:uid="{E2A26FEE-5255-4344-8147-27794F7FDDBD}" name="열1" dataDxfId="8"/>
    <tableColumn id="13" xr3:uid="{7E431A09-9BCC-4DFB-994C-EEFFD6925D1D}" name="열2" dataDxfId="7"/>
    <tableColumn id="8" xr3:uid="{AC50A3A2-146F-4C28-856F-B8493EA9CFFE}" name="열3" dataDxfId="6"/>
    <tableColumn id="3" xr3:uid="{83C868EF-83C9-43A4-940E-164CD78FBEA6}" name="열33" dataDxfId="5"/>
    <tableColumn id="7" xr3:uid="{3420EEAE-2904-45CC-AB06-91E4B0D1C6D6}" name="열34" dataDxfId="4"/>
    <tableColumn id="10" xr3:uid="{3768EA68-7ED1-47FA-A716-5375E31C7485}" name="열4" dataDxfId="3"/>
    <tableColumn id="4" xr3:uid="{4225FEBF-EF45-4C1D-A362-4ECFE19F92A4}" name="열5" dataDxfId="2"/>
    <tableColumn id="22" xr3:uid="{2D2C2356-5316-4079-AC96-AB53FECD4B41}" name="열6" dataDxfId="1"/>
    <tableColumn id="23" xr3:uid="{99BF0CDC-7DA7-4F9C-ABF8-8C0348F57623}" name="열7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5"/>
  </sheetPr>
  <dimension ref="A2:D37"/>
  <sheetViews>
    <sheetView zoomScaleNormal="100" zoomScalePageLayoutView="11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16" sqref="C16"/>
    </sheetView>
  </sheetViews>
  <sheetFormatPr defaultRowHeight="11.25" x14ac:dyDescent="0.3"/>
  <cols>
    <col min="1" max="1" width="5" style="1" bestFit="1" customWidth="1"/>
    <col min="2" max="2" width="4.375" style="7" bestFit="1" customWidth="1"/>
    <col min="3" max="3" width="50.75" style="1" bestFit="1" customWidth="1"/>
    <col min="4" max="4" width="6.875" style="1" bestFit="1" customWidth="1"/>
    <col min="5" max="16384" width="9" style="1"/>
  </cols>
  <sheetData>
    <row r="2" spans="1:4" ht="11.25" customHeight="1" x14ac:dyDescent="0.3"/>
    <row r="3" spans="1:4" ht="49.5" customHeight="1" x14ac:dyDescent="0.3"/>
    <row r="5" spans="1:4" s="2" customFormat="1" ht="12" thickBot="1" x14ac:dyDescent="0.25">
      <c r="A5" s="6" t="s">
        <v>0</v>
      </c>
      <c r="B5" s="6">
        <v>1</v>
      </c>
      <c r="C5" s="6">
        <v>1</v>
      </c>
      <c r="D5" s="6">
        <v>1</v>
      </c>
    </row>
    <row r="6" spans="1:4" s="4" customFormat="1" x14ac:dyDescent="0.2">
      <c r="A6" s="3" t="s">
        <v>1</v>
      </c>
      <c r="B6" s="8"/>
      <c r="C6" s="8"/>
      <c r="D6" s="8"/>
    </row>
    <row r="7" spans="1:4" x14ac:dyDescent="0.3">
      <c r="A7" s="10">
        <v>0</v>
      </c>
      <c r="B7" s="9" t="s">
        <v>3</v>
      </c>
      <c r="C7" s="9" t="s">
        <v>4</v>
      </c>
      <c r="D7" s="9" t="s">
        <v>5</v>
      </c>
    </row>
    <row r="8" spans="1:4" x14ac:dyDescent="0.3">
      <c r="A8" s="1">
        <f>A7+1</f>
        <v>1</v>
      </c>
      <c r="B8" s="1">
        <v>1</v>
      </c>
      <c r="C8" s="1" t="s">
        <v>2</v>
      </c>
      <c r="D8" s="1">
        <v>100</v>
      </c>
    </row>
    <row r="9" spans="1:4" x14ac:dyDescent="0.3">
      <c r="A9" s="1">
        <f t="shared" ref="A9:A37" si="0">A8+1</f>
        <v>2</v>
      </c>
      <c r="B9" s="1">
        <v>2</v>
      </c>
      <c r="C9" s="1" t="s">
        <v>6</v>
      </c>
      <c r="D9" s="1">
        <v>3</v>
      </c>
    </row>
    <row r="10" spans="1:4" x14ac:dyDescent="0.3">
      <c r="A10" s="1">
        <f t="shared" si="0"/>
        <v>3</v>
      </c>
      <c r="B10" s="1">
        <v>3</v>
      </c>
      <c r="C10" s="1" t="s">
        <v>17</v>
      </c>
      <c r="D10" s="1">
        <v>0</v>
      </c>
    </row>
    <row r="11" spans="1:4" x14ac:dyDescent="0.3">
      <c r="A11" s="1">
        <f t="shared" si="0"/>
        <v>4</v>
      </c>
      <c r="B11" s="1">
        <v>4</v>
      </c>
      <c r="C11" s="1" t="s">
        <v>7</v>
      </c>
      <c r="D11" s="1">
        <v>1</v>
      </c>
    </row>
    <row r="12" spans="1:4" x14ac:dyDescent="0.3">
      <c r="A12" s="1">
        <f t="shared" si="0"/>
        <v>5</v>
      </c>
      <c r="B12" s="1">
        <v>5</v>
      </c>
      <c r="C12" s="1" t="s">
        <v>8</v>
      </c>
      <c r="D12" s="1">
        <v>2</v>
      </c>
    </row>
    <row r="13" spans="1:4" s="11" customFormat="1" x14ac:dyDescent="0.3">
      <c r="A13" s="11">
        <f t="shared" si="0"/>
        <v>6</v>
      </c>
      <c r="B13" s="11">
        <v>6</v>
      </c>
      <c r="C13" s="11" t="s">
        <v>2</v>
      </c>
      <c r="D13" s="11">
        <v>500</v>
      </c>
    </row>
    <row r="14" spans="1:4" x14ac:dyDescent="0.3">
      <c r="A14" s="1">
        <f t="shared" si="0"/>
        <v>7</v>
      </c>
      <c r="B14" s="1">
        <v>7</v>
      </c>
      <c r="C14" s="1" t="s">
        <v>9</v>
      </c>
      <c r="D14" s="1">
        <v>2</v>
      </c>
    </row>
    <row r="15" spans="1:4" x14ac:dyDescent="0.3">
      <c r="A15" s="1">
        <f t="shared" si="0"/>
        <v>8</v>
      </c>
      <c r="B15" s="1">
        <v>8</v>
      </c>
      <c r="C15" s="1" t="s">
        <v>10</v>
      </c>
      <c r="D15" s="1">
        <v>2</v>
      </c>
    </row>
    <row r="16" spans="1:4" x14ac:dyDescent="0.3">
      <c r="A16" s="1">
        <f t="shared" si="0"/>
        <v>9</v>
      </c>
      <c r="B16" s="1">
        <v>9</v>
      </c>
      <c r="C16" s="1" t="s">
        <v>18</v>
      </c>
      <c r="D16" s="1">
        <v>0</v>
      </c>
    </row>
    <row r="17" spans="1:4" x14ac:dyDescent="0.3">
      <c r="A17" s="1">
        <f t="shared" si="0"/>
        <v>10</v>
      </c>
      <c r="B17" s="1">
        <v>10</v>
      </c>
      <c r="C17" s="1" t="s">
        <v>2</v>
      </c>
      <c r="D17" s="1">
        <v>300</v>
      </c>
    </row>
    <row r="18" spans="1:4" x14ac:dyDescent="0.3">
      <c r="A18" s="1">
        <f t="shared" si="0"/>
        <v>11</v>
      </c>
      <c r="B18" s="1">
        <v>11</v>
      </c>
      <c r="C18" s="1" t="s">
        <v>11</v>
      </c>
      <c r="D18" s="1">
        <v>1</v>
      </c>
    </row>
    <row r="19" spans="1:4" s="11" customFormat="1" x14ac:dyDescent="0.3">
      <c r="A19" s="11">
        <f t="shared" si="0"/>
        <v>12</v>
      </c>
      <c r="B19" s="11">
        <v>12</v>
      </c>
      <c r="C19" s="11" t="s">
        <v>12</v>
      </c>
      <c r="D19" s="11">
        <v>2</v>
      </c>
    </row>
    <row r="20" spans="1:4" x14ac:dyDescent="0.3">
      <c r="A20" s="1">
        <f t="shared" si="0"/>
        <v>13</v>
      </c>
      <c r="B20" s="1">
        <v>13</v>
      </c>
      <c r="C20" s="1" t="s">
        <v>2</v>
      </c>
      <c r="D20" s="1">
        <v>200</v>
      </c>
    </row>
    <row r="21" spans="1:4" x14ac:dyDescent="0.3">
      <c r="A21" s="1">
        <f t="shared" si="0"/>
        <v>14</v>
      </c>
      <c r="B21" s="1">
        <v>14</v>
      </c>
      <c r="C21" s="1" t="s">
        <v>9</v>
      </c>
      <c r="D21" s="1">
        <v>2</v>
      </c>
    </row>
    <row r="22" spans="1:4" x14ac:dyDescent="0.3">
      <c r="A22" s="1">
        <f t="shared" si="0"/>
        <v>15</v>
      </c>
      <c r="B22" s="1">
        <v>15</v>
      </c>
      <c r="C22" s="1" t="s">
        <v>7</v>
      </c>
      <c r="D22" s="1">
        <v>1</v>
      </c>
    </row>
    <row r="23" spans="1:4" x14ac:dyDescent="0.3">
      <c r="A23" s="1">
        <f t="shared" si="0"/>
        <v>16</v>
      </c>
      <c r="B23" s="1">
        <v>16</v>
      </c>
      <c r="C23" s="1" t="s">
        <v>12</v>
      </c>
      <c r="D23" s="1">
        <v>3</v>
      </c>
    </row>
    <row r="24" spans="1:4" x14ac:dyDescent="0.3">
      <c r="A24" s="1">
        <f t="shared" si="0"/>
        <v>17</v>
      </c>
      <c r="B24" s="1">
        <v>17</v>
      </c>
      <c r="C24" s="1" t="s">
        <v>13</v>
      </c>
      <c r="D24" s="1">
        <v>0</v>
      </c>
    </row>
    <row r="25" spans="1:4" x14ac:dyDescent="0.3">
      <c r="A25" s="1">
        <f t="shared" si="0"/>
        <v>18</v>
      </c>
      <c r="B25" s="1">
        <v>18</v>
      </c>
      <c r="C25" s="1" t="s">
        <v>11</v>
      </c>
      <c r="D25" s="1">
        <v>2</v>
      </c>
    </row>
    <row r="26" spans="1:4" x14ac:dyDescent="0.3">
      <c r="A26" s="1">
        <f t="shared" si="0"/>
        <v>19</v>
      </c>
      <c r="B26" s="1">
        <v>19</v>
      </c>
      <c r="C26" s="1" t="s">
        <v>12</v>
      </c>
      <c r="D26" s="1">
        <v>1</v>
      </c>
    </row>
    <row r="27" spans="1:4" x14ac:dyDescent="0.3">
      <c r="A27" s="1">
        <f t="shared" si="0"/>
        <v>20</v>
      </c>
      <c r="B27" s="1">
        <v>20</v>
      </c>
      <c r="C27" s="1" t="s">
        <v>2</v>
      </c>
      <c r="D27" s="1">
        <v>100</v>
      </c>
    </row>
    <row r="28" spans="1:4" x14ac:dyDescent="0.3">
      <c r="A28" s="1">
        <f t="shared" si="0"/>
        <v>21</v>
      </c>
      <c r="B28" s="1">
        <v>21</v>
      </c>
      <c r="C28" s="1" t="s">
        <v>10</v>
      </c>
      <c r="D28" s="1">
        <v>2</v>
      </c>
    </row>
    <row r="29" spans="1:4" x14ac:dyDescent="0.3">
      <c r="A29" s="1">
        <f t="shared" si="0"/>
        <v>22</v>
      </c>
      <c r="B29" s="1">
        <v>22</v>
      </c>
      <c r="C29" s="1" t="s">
        <v>12</v>
      </c>
      <c r="D29" s="1">
        <v>1</v>
      </c>
    </row>
    <row r="30" spans="1:4" x14ac:dyDescent="0.3">
      <c r="A30" s="1">
        <f t="shared" si="0"/>
        <v>23</v>
      </c>
      <c r="B30" s="1">
        <v>23</v>
      </c>
      <c r="C30" s="1" t="s">
        <v>14</v>
      </c>
      <c r="D30" s="1">
        <v>3</v>
      </c>
    </row>
    <row r="31" spans="1:4" x14ac:dyDescent="0.3">
      <c r="A31" s="1">
        <f t="shared" si="0"/>
        <v>24</v>
      </c>
      <c r="B31" s="1">
        <v>24</v>
      </c>
      <c r="C31" s="1" t="s">
        <v>9</v>
      </c>
      <c r="D31" s="1">
        <v>2</v>
      </c>
    </row>
    <row r="32" spans="1:4" x14ac:dyDescent="0.3">
      <c r="A32" s="1">
        <f t="shared" si="0"/>
        <v>25</v>
      </c>
      <c r="B32" s="1">
        <v>25</v>
      </c>
      <c r="C32" s="1" t="s">
        <v>2</v>
      </c>
      <c r="D32" s="1">
        <v>200</v>
      </c>
    </row>
    <row r="33" spans="1:4" x14ac:dyDescent="0.3">
      <c r="A33" s="1">
        <f t="shared" si="0"/>
        <v>26</v>
      </c>
      <c r="B33" s="1">
        <v>26</v>
      </c>
      <c r="C33" s="1" t="s">
        <v>15</v>
      </c>
      <c r="D33" s="1">
        <v>3</v>
      </c>
    </row>
    <row r="34" spans="1:4" x14ac:dyDescent="0.3">
      <c r="A34" s="1">
        <f t="shared" si="0"/>
        <v>27</v>
      </c>
      <c r="B34" s="1">
        <v>27</v>
      </c>
      <c r="C34" s="1" t="s">
        <v>7</v>
      </c>
      <c r="D34" s="1">
        <v>2</v>
      </c>
    </row>
    <row r="35" spans="1:4" x14ac:dyDescent="0.3">
      <c r="A35" s="1">
        <f t="shared" si="0"/>
        <v>28</v>
      </c>
      <c r="B35" s="1">
        <v>28</v>
      </c>
      <c r="C35" s="1" t="s">
        <v>12</v>
      </c>
      <c r="D35" s="1">
        <v>3</v>
      </c>
    </row>
    <row r="36" spans="1:4" x14ac:dyDescent="0.3">
      <c r="A36" s="1">
        <f t="shared" si="0"/>
        <v>29</v>
      </c>
      <c r="B36" s="1">
        <v>29</v>
      </c>
      <c r="C36" s="1" t="s">
        <v>15</v>
      </c>
      <c r="D36" s="1">
        <v>1</v>
      </c>
    </row>
    <row r="37" spans="1:4" x14ac:dyDescent="0.3">
      <c r="A37" s="1">
        <f t="shared" si="0"/>
        <v>30</v>
      </c>
      <c r="B37" s="1">
        <v>30</v>
      </c>
      <c r="C37" s="1" t="s">
        <v>16</v>
      </c>
      <c r="D37" s="1">
        <v>0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0F9F-9DA0-4E0C-9360-01BEA758422D}">
  <sheetPr codeName="Sheet9">
    <tabColor rgb="FFFFFF00"/>
  </sheetPr>
  <dimension ref="A1:E14"/>
  <sheetViews>
    <sheetView zoomScaleNormal="100" workbookViewId="0">
      <pane ySplit="8" topLeftCell="A9" activePane="bottomLeft" state="frozen"/>
      <selection pane="bottomLeft" activeCell="C9" sqref="C9"/>
    </sheetView>
  </sheetViews>
  <sheetFormatPr defaultRowHeight="11.25" x14ac:dyDescent="0.3"/>
  <cols>
    <col min="1" max="1" width="7.625" style="12" bestFit="1" customWidth="1"/>
    <col min="2" max="2" width="17.75" style="12" bestFit="1" customWidth="1"/>
    <col min="3" max="3" width="17.75" style="12" customWidth="1"/>
    <col min="4" max="4" width="7.625" style="12" bestFit="1" customWidth="1"/>
    <col min="5" max="5" width="8.125" style="12" bestFit="1" customWidth="1"/>
    <col min="6" max="16384" width="9" style="12"/>
  </cols>
  <sheetData>
    <row r="1" spans="1:5" s="1" customFormat="1" x14ac:dyDescent="0.3"/>
    <row r="2" spans="1:5" s="1" customFormat="1" x14ac:dyDescent="0.3"/>
    <row r="3" spans="1:5" ht="49.5" customHeight="1" x14ac:dyDescent="0.3">
      <c r="D3" s="13"/>
    </row>
    <row r="4" spans="1:5" x14ac:dyDescent="0.3">
      <c r="A4" s="12" t="s">
        <v>19</v>
      </c>
      <c r="B4" s="12" t="s">
        <v>20</v>
      </c>
      <c r="C4" s="12" t="s">
        <v>24</v>
      </c>
      <c r="D4" s="12" t="s">
        <v>21</v>
      </c>
      <c r="E4" s="12" t="s">
        <v>23</v>
      </c>
    </row>
    <row r="5" spans="1:5" s="2" customFormat="1" x14ac:dyDescent="0.3">
      <c r="A5" s="12"/>
      <c r="B5" s="12"/>
      <c r="C5" s="12" t="str">
        <f>IF(표1_356[[#This Row],[열2]]="","",""""&amp; INDEX(#REF!,MATCH(표1_356[[#This Row],[열2]],#REF!,0)) &amp;"""")</f>
        <v/>
      </c>
      <c r="D5" s="12"/>
      <c r="E5" s="20"/>
    </row>
    <row r="6" spans="1:5" s="15" customFormat="1" ht="12" thickBot="1" x14ac:dyDescent="0.25">
      <c r="A6" s="17" t="s">
        <v>0</v>
      </c>
      <c r="B6" s="21">
        <v>0</v>
      </c>
      <c r="C6" s="5">
        <v>1</v>
      </c>
      <c r="D6" s="5">
        <v>1</v>
      </c>
      <c r="E6" s="5">
        <v>1</v>
      </c>
    </row>
    <row r="7" spans="1:5" x14ac:dyDescent="0.2">
      <c r="A7" s="19" t="s">
        <v>1</v>
      </c>
      <c r="B7" s="22" t="s">
        <v>40</v>
      </c>
      <c r="C7" s="14" t="s">
        <v>49</v>
      </c>
      <c r="D7" s="14" t="s">
        <v>48</v>
      </c>
      <c r="E7" s="14" t="s">
        <v>46</v>
      </c>
    </row>
    <row r="8" spans="1:5" x14ac:dyDescent="0.3">
      <c r="A8" s="18">
        <v>1</v>
      </c>
      <c r="B8" s="16" t="s">
        <v>26</v>
      </c>
      <c r="C8" s="12" t="s">
        <v>27</v>
      </c>
      <c r="D8" s="12" t="s">
        <v>42</v>
      </c>
      <c r="E8" s="20" t="s">
        <v>41</v>
      </c>
    </row>
    <row r="9" spans="1:5" x14ac:dyDescent="0.3">
      <c r="A9" s="18">
        <v>2</v>
      </c>
      <c r="B9" s="16" t="e">
        <f>IF(#REF!=0,"",#REF!)</f>
        <v>#REF!</v>
      </c>
      <c r="C9" s="12" t="e">
        <f>IF(표1_356[[#This Row],[열2]]="","",""""&amp; INDEX(#REF!,MATCH(표1_356[[#This Row],[열2]],#REF!,0)) &amp;"""")</f>
        <v>#REF!</v>
      </c>
      <c r="D9" s="12">
        <v>200</v>
      </c>
      <c r="E9" s="20" t="s">
        <v>50</v>
      </c>
    </row>
    <row r="10" spans="1:5" x14ac:dyDescent="0.3">
      <c r="A10" s="18">
        <v>3</v>
      </c>
      <c r="B10" s="16" t="e">
        <f>IF(#REF!=0,"",#REF!)</f>
        <v>#REF!</v>
      </c>
      <c r="C10" s="12" t="e">
        <f>IF(표1_356[[#This Row],[열2]]="","",""""&amp; INDEX(#REF!,MATCH(표1_356[[#This Row],[열2]],#REF!,0)) &amp;"""")</f>
        <v>#REF!</v>
      </c>
      <c r="D10" s="12">
        <v>1200</v>
      </c>
      <c r="E10" s="20" t="s">
        <v>51</v>
      </c>
    </row>
    <row r="11" spans="1:5" x14ac:dyDescent="0.3">
      <c r="A11" s="18">
        <v>4</v>
      </c>
      <c r="B11" s="16" t="e">
        <f>IF(#REF!=0,"",#REF!)</f>
        <v>#REF!</v>
      </c>
      <c r="C11" s="12" t="e">
        <f>IF(표1_356[[#This Row],[열2]]="","",""""&amp; INDEX(#REF!,MATCH(표1_356[[#This Row],[열2]],#REF!,0)) &amp;"""")</f>
        <v>#REF!</v>
      </c>
      <c r="D11" s="12">
        <v>7000</v>
      </c>
      <c r="E11" s="20" t="s">
        <v>52</v>
      </c>
    </row>
    <row r="12" spans="1:5" x14ac:dyDescent="0.3">
      <c r="A12" s="18"/>
      <c r="B12" s="12" t="e">
        <f>IF(#REF!=0,"",#REF!)</f>
        <v>#REF!</v>
      </c>
      <c r="C12" s="12" t="e">
        <f>IF(표1_356[[#This Row],[열2]]="","",""""&amp; INDEX(#REF!,MATCH(표1_356[[#This Row],[열2]],#REF!,0)) &amp;"""")</f>
        <v>#REF!</v>
      </c>
      <c r="E12" s="20"/>
    </row>
    <row r="13" spans="1:5" x14ac:dyDescent="0.3">
      <c r="A13" s="18"/>
      <c r="B13" s="12" t="e">
        <f>IF(#REF!=0,"",#REF!)</f>
        <v>#REF!</v>
      </c>
      <c r="C13" s="12" t="e">
        <f>IF(표1_356[[#This Row],[열2]]="","",""""&amp; INDEX(#REF!,MATCH(표1_356[[#This Row],[열2]],#REF!,0)) &amp;"""")</f>
        <v>#REF!</v>
      </c>
      <c r="E13" s="20"/>
    </row>
    <row r="14" spans="1:5" x14ac:dyDescent="0.3">
      <c r="A14" s="18"/>
      <c r="B14" s="12" t="e">
        <f>IF(#REF!=0,"",#REF!)</f>
        <v>#REF!</v>
      </c>
      <c r="C14" s="12" t="e">
        <f>IF(표1_356[[#This Row],[열2]]="","",""""&amp; INDEX(#REF!,MATCH(표1_356[[#This Row],[열2]],#REF!,0)) &amp;"""")</f>
        <v>#REF!</v>
      </c>
      <c r="E14" s="20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2D0D3-90DE-498B-B5BC-D7710BBFDD71}">
  <sheetPr codeName="Sheet8">
    <tabColor rgb="FFFFFF00"/>
  </sheetPr>
  <dimension ref="A1:F14"/>
  <sheetViews>
    <sheetView zoomScaleNormal="100" workbookViewId="0">
      <pane ySplit="8" topLeftCell="A9" activePane="bottomLeft" state="frozen"/>
      <selection pane="bottomLeft" activeCell="C38" sqref="C38"/>
    </sheetView>
  </sheetViews>
  <sheetFormatPr defaultRowHeight="11.25" x14ac:dyDescent="0.3"/>
  <cols>
    <col min="1" max="1" width="7.625" style="12" bestFit="1" customWidth="1"/>
    <col min="2" max="2" width="17.75" style="12" bestFit="1" customWidth="1"/>
    <col min="3" max="3" width="17.75" style="12" customWidth="1"/>
    <col min="4" max="4" width="7.625" style="12" bestFit="1" customWidth="1"/>
    <col min="5" max="5" width="24.75" style="12" customWidth="1"/>
    <col min="6" max="6" width="8.125" style="12" bestFit="1" customWidth="1"/>
    <col min="7" max="16384" width="9" style="12"/>
  </cols>
  <sheetData>
    <row r="1" spans="1:6" s="1" customFormat="1" x14ac:dyDescent="0.3"/>
    <row r="2" spans="1:6" s="1" customFormat="1" x14ac:dyDescent="0.3"/>
    <row r="3" spans="1:6" ht="49.5" customHeight="1" x14ac:dyDescent="0.3">
      <c r="D3" s="13"/>
    </row>
    <row r="4" spans="1:6" x14ac:dyDescent="0.3">
      <c r="A4" s="12" t="s">
        <v>19</v>
      </c>
      <c r="B4" s="12" t="s">
        <v>20</v>
      </c>
      <c r="C4" s="12" t="s">
        <v>24</v>
      </c>
      <c r="D4" s="12" t="s">
        <v>21</v>
      </c>
      <c r="E4" s="12" t="s">
        <v>22</v>
      </c>
      <c r="F4" s="12" t="s">
        <v>23</v>
      </c>
    </row>
    <row r="5" spans="1:6" s="2" customFormat="1" x14ac:dyDescent="0.3">
      <c r="A5" s="12"/>
      <c r="B5" s="12"/>
      <c r="C5" s="12"/>
      <c r="D5" s="12"/>
      <c r="E5" s="12"/>
      <c r="F5" s="20"/>
    </row>
    <row r="6" spans="1:6" s="15" customFormat="1" ht="12" thickBot="1" x14ac:dyDescent="0.25">
      <c r="A6" s="17" t="s">
        <v>0</v>
      </c>
      <c r="B6" s="21">
        <v>0</v>
      </c>
      <c r="C6" s="5">
        <v>1</v>
      </c>
      <c r="D6" s="5">
        <v>1</v>
      </c>
      <c r="E6" s="5">
        <v>1</v>
      </c>
      <c r="F6" s="5">
        <v>1</v>
      </c>
    </row>
    <row r="7" spans="1:6" x14ac:dyDescent="0.2">
      <c r="A7" s="19" t="s">
        <v>1</v>
      </c>
      <c r="B7" s="22" t="s">
        <v>25</v>
      </c>
      <c r="C7" s="14" t="s">
        <v>45</v>
      </c>
      <c r="D7" s="14" t="s">
        <v>44</v>
      </c>
      <c r="E7" s="14" t="s">
        <v>43</v>
      </c>
      <c r="F7" s="14" t="s">
        <v>46</v>
      </c>
    </row>
    <row r="8" spans="1:6" x14ac:dyDescent="0.3">
      <c r="A8" s="18">
        <v>1</v>
      </c>
      <c r="B8" s="16" t="s">
        <v>26</v>
      </c>
      <c r="C8" s="12" t="s">
        <v>27</v>
      </c>
      <c r="D8" s="12" t="s">
        <v>42</v>
      </c>
      <c r="E8" s="12" t="s">
        <v>47</v>
      </c>
      <c r="F8" s="20" t="s">
        <v>41</v>
      </c>
    </row>
    <row r="9" spans="1:6" x14ac:dyDescent="0.3">
      <c r="A9" s="18">
        <v>2</v>
      </c>
      <c r="B9" s="16" t="e">
        <f>#REF!</f>
        <v>#REF!</v>
      </c>
      <c r="C9" s="20" t="e">
        <f>""""&amp; INDEX(#REF!,MATCH(표1_35[[#This Row],[열2]],#REF!,0)) &amp;""""</f>
        <v>#REF!</v>
      </c>
      <c r="D9" s="12">
        <v>150</v>
      </c>
      <c r="E9" s="12" t="s">
        <v>28</v>
      </c>
      <c r="F9" s="20" t="s">
        <v>34</v>
      </c>
    </row>
    <row r="10" spans="1:6" x14ac:dyDescent="0.3">
      <c r="A10" s="18">
        <v>3</v>
      </c>
      <c r="B10" s="16" t="e">
        <f>#REF!</f>
        <v>#REF!</v>
      </c>
      <c r="C10" s="20" t="e">
        <f>""""&amp; INDEX(#REF!,MATCH(표1_35[[#This Row],[열2]],#REF!,0)) &amp;""""</f>
        <v>#REF!</v>
      </c>
      <c r="D10" s="12">
        <v>550</v>
      </c>
      <c r="E10" s="12" t="s">
        <v>29</v>
      </c>
      <c r="F10" s="20" t="s">
        <v>35</v>
      </c>
    </row>
    <row r="11" spans="1:6" x14ac:dyDescent="0.3">
      <c r="A11" s="18">
        <v>4</v>
      </c>
      <c r="B11" s="16" t="e">
        <f>#REF!</f>
        <v>#REF!</v>
      </c>
      <c r="C11" s="20" t="e">
        <f>""""&amp; INDEX(#REF!,MATCH(표1_35[[#This Row],[열2]],#REF!,0)) &amp;""""</f>
        <v>#REF!</v>
      </c>
      <c r="D11" s="12">
        <v>1500</v>
      </c>
      <c r="E11" s="12" t="s">
        <v>30</v>
      </c>
      <c r="F11" s="20" t="s">
        <v>36</v>
      </c>
    </row>
    <row r="12" spans="1:6" x14ac:dyDescent="0.3">
      <c r="A12" s="18">
        <v>5</v>
      </c>
      <c r="B12" s="16" t="e">
        <f>#REF!</f>
        <v>#REF!</v>
      </c>
      <c r="C12" s="20" t="e">
        <f>""""&amp; INDEX(#REF!,MATCH(표1_35[[#This Row],[열2]],#REF!,0)) &amp;""""</f>
        <v>#REF!</v>
      </c>
      <c r="D12" s="12">
        <v>3300</v>
      </c>
      <c r="E12" s="12" t="s">
        <v>31</v>
      </c>
      <c r="F12" s="20" t="s">
        <v>37</v>
      </c>
    </row>
    <row r="13" spans="1:6" x14ac:dyDescent="0.3">
      <c r="A13" s="18">
        <v>6</v>
      </c>
      <c r="B13" s="16" t="e">
        <f>#REF!</f>
        <v>#REF!</v>
      </c>
      <c r="C13" s="20" t="e">
        <f>""""&amp; INDEX(#REF!,MATCH(표1_35[[#This Row],[열2]],#REF!,0)) &amp;""""</f>
        <v>#REF!</v>
      </c>
      <c r="D13" s="12">
        <v>6500</v>
      </c>
      <c r="E13" s="12" t="s">
        <v>32</v>
      </c>
      <c r="F13" s="20" t="s">
        <v>38</v>
      </c>
    </row>
    <row r="14" spans="1:6" x14ac:dyDescent="0.3">
      <c r="A14" s="18">
        <v>7</v>
      </c>
      <c r="B14" s="16" t="e">
        <f>#REF!</f>
        <v>#REF!</v>
      </c>
      <c r="C14" s="20" t="e">
        <f>""""&amp; INDEX(#REF!,MATCH(표1_35[[#This Row],[열2]],#REF!,0)) &amp;""""</f>
        <v>#REF!</v>
      </c>
      <c r="D14" s="12">
        <v>11000</v>
      </c>
      <c r="E14" s="12" t="s">
        <v>33</v>
      </c>
      <c r="F14" s="20" t="s">
        <v>39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EF75F-AB77-4B87-AE76-FBB3759F9075}">
  <sheetPr codeName="Sheet43"/>
  <dimension ref="A1:P185"/>
  <sheetViews>
    <sheetView tabSelected="1" zoomScaleNormal="100" workbookViewId="0">
      <pane ySplit="7" topLeftCell="A8" activePane="bottomLeft" state="frozen"/>
      <selection pane="bottomLeft" activeCell="E9" sqref="E9"/>
    </sheetView>
  </sheetViews>
  <sheetFormatPr defaultRowHeight="11.25" x14ac:dyDescent="0.3"/>
  <cols>
    <col min="1" max="1" width="5" style="12" customWidth="1"/>
    <col min="2" max="2" width="11.5" style="12" customWidth="1"/>
    <col min="3" max="5" width="24.375" style="12" customWidth="1"/>
    <col min="6" max="6" width="18.5" style="12" customWidth="1"/>
    <col min="7" max="7" width="14.625" style="12" customWidth="1"/>
    <col min="8" max="8" width="19.875" style="12" bestFit="1" customWidth="1"/>
    <col min="9" max="9" width="18.625" style="12" customWidth="1"/>
    <col min="10" max="16384" width="9" style="12"/>
  </cols>
  <sheetData>
    <row r="1" spans="1:16" s="1" customFormat="1" ht="88.5" customHeight="1" x14ac:dyDescent="0.2">
      <c r="C1" s="26"/>
      <c r="D1" s="26"/>
      <c r="E1" s="26"/>
      <c r="F1" s="26"/>
      <c r="G1" s="24"/>
      <c r="H1" s="25"/>
    </row>
    <row r="2" spans="1:16" s="1" customFormat="1" x14ac:dyDescent="0.2">
      <c r="F2" s="12"/>
      <c r="G2" s="25"/>
      <c r="H2" s="25"/>
      <c r="I2" s="25"/>
    </row>
    <row r="3" spans="1:16" ht="16.5" customHeight="1" x14ac:dyDescent="0.3"/>
    <row r="4" spans="1:16" x14ac:dyDescent="0.3">
      <c r="A4" s="12" t="s">
        <v>19</v>
      </c>
      <c r="B4" s="12" t="s">
        <v>55</v>
      </c>
      <c r="C4" s="12" t="s">
        <v>56</v>
      </c>
      <c r="D4" s="12" t="s">
        <v>53</v>
      </c>
      <c r="E4" s="12" t="s">
        <v>54</v>
      </c>
      <c r="F4" s="12" t="s">
        <v>57</v>
      </c>
      <c r="G4" s="12" t="s">
        <v>58</v>
      </c>
      <c r="H4" s="12" t="s">
        <v>59</v>
      </c>
      <c r="I4" s="12" t="s">
        <v>60</v>
      </c>
    </row>
    <row r="5" spans="1:16" s="15" customFormat="1" ht="12" thickBot="1" x14ac:dyDescent="0.25">
      <c r="A5" s="17" t="s">
        <v>0</v>
      </c>
      <c r="B5" s="5">
        <v>1</v>
      </c>
      <c r="C5" s="5">
        <v>1</v>
      </c>
      <c r="D5" s="5">
        <v>1</v>
      </c>
      <c r="E5" s="5">
        <v>1</v>
      </c>
      <c r="F5" s="5">
        <v>1</v>
      </c>
      <c r="G5" s="5"/>
      <c r="H5" s="5"/>
      <c r="I5" s="5"/>
      <c r="J5" s="12"/>
      <c r="K5" s="12"/>
      <c r="L5" s="12"/>
      <c r="M5" s="12"/>
      <c r="N5" s="12"/>
      <c r="O5" s="12"/>
      <c r="P5" s="12"/>
    </row>
    <row r="6" spans="1:16" x14ac:dyDescent="0.2">
      <c r="A6" s="19" t="s">
        <v>1</v>
      </c>
      <c r="B6" s="14" t="s">
        <v>73</v>
      </c>
      <c r="C6" s="14" t="s">
        <v>75</v>
      </c>
      <c r="D6" s="14" t="s">
        <v>77</v>
      </c>
      <c r="E6" s="14" t="s">
        <v>79</v>
      </c>
      <c r="F6" s="14" t="s">
        <v>81</v>
      </c>
      <c r="G6" s="14"/>
      <c r="H6" s="14"/>
      <c r="I6" s="14"/>
    </row>
    <row r="7" spans="1:16" x14ac:dyDescent="0.3">
      <c r="A7" s="18">
        <v>1</v>
      </c>
      <c r="B7" s="12" t="s">
        <v>72</v>
      </c>
      <c r="C7" s="12" t="s">
        <v>74</v>
      </c>
      <c r="D7" s="12" t="s">
        <v>76</v>
      </c>
      <c r="E7" s="12" t="s">
        <v>78</v>
      </c>
      <c r="F7" s="12" t="s">
        <v>80</v>
      </c>
    </row>
    <row r="8" spans="1:16" x14ac:dyDescent="0.3">
      <c r="A8" s="18">
        <v>1</v>
      </c>
      <c r="B8" s="12">
        <v>100001</v>
      </c>
      <c r="C8" s="12" t="s">
        <v>62</v>
      </c>
      <c r="D8" s="12">
        <v>1</v>
      </c>
      <c r="E8" s="12">
        <v>2</v>
      </c>
      <c r="F8" s="12">
        <v>11</v>
      </c>
      <c r="H8" s="20"/>
      <c r="I8" s="20"/>
    </row>
    <row r="9" spans="1:16" x14ac:dyDescent="0.3">
      <c r="A9" s="18">
        <v>1</v>
      </c>
      <c r="B9" s="12">
        <v>200001</v>
      </c>
      <c r="C9" s="12" t="s">
        <v>61</v>
      </c>
      <c r="D9" s="12">
        <v>10</v>
      </c>
      <c r="E9" s="12">
        <v>3</v>
      </c>
      <c r="F9" s="23" t="s">
        <v>82</v>
      </c>
      <c r="G9" s="23"/>
      <c r="H9" s="20"/>
      <c r="I9" s="20"/>
    </row>
    <row r="10" spans="1:16" x14ac:dyDescent="0.3">
      <c r="A10" s="18">
        <v>1</v>
      </c>
      <c r="B10" s="12">
        <v>300001</v>
      </c>
      <c r="C10" s="12" t="s">
        <v>63</v>
      </c>
      <c r="D10" s="12">
        <v>10</v>
      </c>
      <c r="E10" s="12" t="s">
        <v>65</v>
      </c>
      <c r="F10" s="12">
        <v>300001</v>
      </c>
      <c r="G10" s="23"/>
      <c r="H10" s="20"/>
      <c r="I10" s="20"/>
    </row>
    <row r="11" spans="1:16" x14ac:dyDescent="0.3">
      <c r="A11" s="18">
        <v>1</v>
      </c>
      <c r="B11" s="12">
        <f>B10+1</f>
        <v>300002</v>
      </c>
      <c r="C11" s="12" t="s">
        <v>63</v>
      </c>
      <c r="D11" s="12">
        <v>15</v>
      </c>
      <c r="E11" s="12" t="s">
        <v>66</v>
      </c>
      <c r="F11" s="12">
        <f>F10+1</f>
        <v>300002</v>
      </c>
      <c r="G11" s="23"/>
      <c r="H11" s="20"/>
      <c r="I11" s="20"/>
    </row>
    <row r="12" spans="1:16" x14ac:dyDescent="0.3">
      <c r="A12" s="18">
        <v>1</v>
      </c>
      <c r="B12" s="12">
        <f t="shared" ref="B12:B13" si="0">B11+1</f>
        <v>300003</v>
      </c>
      <c r="C12" s="12" t="s">
        <v>63</v>
      </c>
      <c r="D12" s="12">
        <v>20</v>
      </c>
      <c r="E12" s="12" t="s">
        <v>67</v>
      </c>
      <c r="F12" s="12">
        <f t="shared" ref="F12:F17" si="1">F11+1</f>
        <v>300003</v>
      </c>
      <c r="G12" s="23"/>
      <c r="H12" s="20"/>
      <c r="I12" s="20"/>
    </row>
    <row r="13" spans="1:16" x14ac:dyDescent="0.3">
      <c r="A13" s="18">
        <v>1</v>
      </c>
      <c r="B13" s="12">
        <f t="shared" si="0"/>
        <v>300004</v>
      </c>
      <c r="C13" s="12" t="s">
        <v>63</v>
      </c>
      <c r="D13" s="12">
        <f>D12+5</f>
        <v>25</v>
      </c>
      <c r="E13" s="12" t="s">
        <v>67</v>
      </c>
      <c r="F13" s="12">
        <f t="shared" si="1"/>
        <v>300004</v>
      </c>
      <c r="G13" s="23"/>
      <c r="H13" s="20"/>
      <c r="I13" s="20"/>
    </row>
    <row r="14" spans="1:16" x14ac:dyDescent="0.3">
      <c r="A14" s="18">
        <v>1</v>
      </c>
      <c r="B14" s="12">
        <v>400001</v>
      </c>
      <c r="C14" s="12" t="s">
        <v>64</v>
      </c>
      <c r="D14" s="12">
        <v>2</v>
      </c>
      <c r="E14" s="12" t="s">
        <v>68</v>
      </c>
      <c r="F14" s="12">
        <v>310001</v>
      </c>
      <c r="G14" s="23"/>
      <c r="H14" s="20"/>
      <c r="I14" s="20"/>
    </row>
    <row r="15" spans="1:16" x14ac:dyDescent="0.3">
      <c r="A15" s="18">
        <v>1</v>
      </c>
      <c r="B15" s="12">
        <f>B14+1</f>
        <v>400002</v>
      </c>
      <c r="C15" s="12" t="s">
        <v>64</v>
      </c>
      <c r="D15" s="12">
        <f>D14+5</f>
        <v>7</v>
      </c>
      <c r="E15" s="12" t="s">
        <v>69</v>
      </c>
      <c r="F15" s="12">
        <f t="shared" si="1"/>
        <v>310002</v>
      </c>
      <c r="G15" s="23"/>
      <c r="H15" s="20"/>
      <c r="I15" s="20"/>
    </row>
    <row r="16" spans="1:16" x14ac:dyDescent="0.3">
      <c r="A16" s="18">
        <v>1</v>
      </c>
      <c r="B16" s="12">
        <f t="shared" ref="B16:B17" si="2">B15+1</f>
        <v>400003</v>
      </c>
      <c r="C16" s="12" t="s">
        <v>64</v>
      </c>
      <c r="D16" s="12">
        <f t="shared" ref="D16:D17" si="3">D15+5</f>
        <v>12</v>
      </c>
      <c r="E16" s="12" t="s">
        <v>70</v>
      </c>
      <c r="F16" s="12">
        <f t="shared" si="1"/>
        <v>310003</v>
      </c>
      <c r="G16" s="23"/>
      <c r="H16" s="20"/>
      <c r="I16" s="20"/>
    </row>
    <row r="17" spans="1:9" x14ac:dyDescent="0.3">
      <c r="A17" s="18">
        <v>1</v>
      </c>
      <c r="B17" s="12">
        <f t="shared" si="2"/>
        <v>400004</v>
      </c>
      <c r="C17" s="12" t="s">
        <v>64</v>
      </c>
      <c r="D17" s="12">
        <f t="shared" si="3"/>
        <v>17</v>
      </c>
      <c r="E17" s="12" t="s">
        <v>71</v>
      </c>
      <c r="F17" s="12">
        <f t="shared" si="1"/>
        <v>310004</v>
      </c>
      <c r="G17" s="23"/>
      <c r="H17" s="20"/>
      <c r="I17" s="20"/>
    </row>
    <row r="18" spans="1:9" x14ac:dyDescent="0.3">
      <c r="A18" s="18"/>
      <c r="G18" s="23"/>
      <c r="H18" s="20"/>
      <c r="I18" s="20"/>
    </row>
    <row r="19" spans="1:9" x14ac:dyDescent="0.3">
      <c r="A19" s="18"/>
      <c r="G19" s="23"/>
      <c r="H19" s="20"/>
      <c r="I19" s="20"/>
    </row>
    <row r="20" spans="1:9" x14ac:dyDescent="0.3">
      <c r="A20" s="18"/>
      <c r="G20" s="23"/>
      <c r="H20" s="20"/>
      <c r="I20" s="20"/>
    </row>
    <row r="21" spans="1:9" x14ac:dyDescent="0.3">
      <c r="A21" s="18"/>
      <c r="G21" s="23"/>
      <c r="H21" s="20"/>
      <c r="I21" s="20"/>
    </row>
    <row r="22" spans="1:9" x14ac:dyDescent="0.3">
      <c r="A22" s="18"/>
      <c r="G22" s="23"/>
      <c r="H22" s="20"/>
      <c r="I22" s="20"/>
    </row>
    <row r="23" spans="1:9" x14ac:dyDescent="0.3">
      <c r="A23" s="18"/>
      <c r="G23" s="23"/>
      <c r="H23" s="20"/>
      <c r="I23" s="20"/>
    </row>
    <row r="24" spans="1:9" x14ac:dyDescent="0.3">
      <c r="A24" s="18"/>
      <c r="G24" s="23"/>
      <c r="H24" s="20"/>
      <c r="I24" s="20"/>
    </row>
    <row r="25" spans="1:9" x14ac:dyDescent="0.3">
      <c r="A25" s="18"/>
      <c r="G25" s="23"/>
      <c r="H25" s="20"/>
      <c r="I25" s="20"/>
    </row>
    <row r="26" spans="1:9" x14ac:dyDescent="0.3">
      <c r="A26" s="18"/>
      <c r="G26" s="23"/>
      <c r="H26" s="20"/>
      <c r="I26" s="20"/>
    </row>
    <row r="27" spans="1:9" x14ac:dyDescent="0.3">
      <c r="A27" s="18"/>
      <c r="G27" s="23"/>
      <c r="H27" s="20"/>
      <c r="I27" s="20"/>
    </row>
    <row r="28" spans="1:9" x14ac:dyDescent="0.3">
      <c r="A28" s="18"/>
      <c r="G28" s="23"/>
      <c r="H28" s="20"/>
      <c r="I28" s="20"/>
    </row>
    <row r="29" spans="1:9" x14ac:dyDescent="0.3">
      <c r="A29" s="18"/>
      <c r="G29" s="23"/>
      <c r="H29" s="20"/>
      <c r="I29" s="20"/>
    </row>
    <row r="30" spans="1:9" x14ac:dyDescent="0.3">
      <c r="A30" s="18"/>
      <c r="G30" s="23"/>
      <c r="H30" s="20"/>
      <c r="I30" s="20"/>
    </row>
    <row r="31" spans="1:9" x14ac:dyDescent="0.3">
      <c r="A31" s="18"/>
      <c r="G31" s="23"/>
      <c r="H31" s="20"/>
      <c r="I31" s="20"/>
    </row>
    <row r="32" spans="1:9" x14ac:dyDescent="0.3">
      <c r="A32" s="18"/>
      <c r="G32" s="23"/>
      <c r="H32" s="20"/>
      <c r="I32" s="20"/>
    </row>
    <row r="33" spans="1:9" x14ac:dyDescent="0.3">
      <c r="A33" s="18"/>
      <c r="G33" s="23"/>
      <c r="H33" s="20"/>
      <c r="I33" s="20"/>
    </row>
    <row r="34" spans="1:9" x14ac:dyDescent="0.3">
      <c r="A34" s="18"/>
      <c r="G34" s="23"/>
      <c r="H34" s="20"/>
      <c r="I34" s="20"/>
    </row>
    <row r="35" spans="1:9" x14ac:dyDescent="0.3">
      <c r="A35" s="18"/>
      <c r="G35" s="23"/>
      <c r="H35" s="20"/>
      <c r="I35" s="20"/>
    </row>
    <row r="36" spans="1:9" x14ac:dyDescent="0.3">
      <c r="A36" s="18"/>
      <c r="G36" s="23"/>
      <c r="H36" s="20"/>
      <c r="I36" s="20"/>
    </row>
    <row r="37" spans="1:9" x14ac:dyDescent="0.3">
      <c r="A37" s="18"/>
      <c r="G37" s="23"/>
      <c r="H37" s="20"/>
      <c r="I37" s="20"/>
    </row>
    <row r="38" spans="1:9" x14ac:dyDescent="0.3">
      <c r="A38" s="18"/>
      <c r="G38" s="23"/>
      <c r="H38" s="20"/>
      <c r="I38" s="20"/>
    </row>
    <row r="39" spans="1:9" x14ac:dyDescent="0.3">
      <c r="A39" s="18"/>
      <c r="D39" s="27"/>
      <c r="G39" s="23"/>
      <c r="H39" s="20"/>
      <c r="I39" s="20"/>
    </row>
    <row r="40" spans="1:9" x14ac:dyDescent="0.3">
      <c r="A40" s="18"/>
      <c r="G40" s="23"/>
      <c r="H40" s="20"/>
      <c r="I40" s="20"/>
    </row>
    <row r="41" spans="1:9" x14ac:dyDescent="0.3">
      <c r="A41" s="18"/>
      <c r="G41" s="23"/>
      <c r="H41" s="20"/>
      <c r="I41" s="20"/>
    </row>
    <row r="42" spans="1:9" x14ac:dyDescent="0.3">
      <c r="A42" s="18"/>
      <c r="G42" s="23"/>
      <c r="H42" s="20"/>
      <c r="I42" s="20"/>
    </row>
    <row r="43" spans="1:9" x14ac:dyDescent="0.3">
      <c r="A43" s="18"/>
      <c r="G43" s="23"/>
      <c r="H43" s="20"/>
      <c r="I43" s="20"/>
    </row>
    <row r="44" spans="1:9" x14ac:dyDescent="0.3">
      <c r="A44" s="18"/>
      <c r="G44" s="23"/>
      <c r="H44" s="20"/>
      <c r="I44" s="20"/>
    </row>
    <row r="45" spans="1:9" x14ac:dyDescent="0.3">
      <c r="A45" s="18"/>
      <c r="G45" s="23"/>
      <c r="H45" s="20"/>
      <c r="I45" s="20"/>
    </row>
    <row r="46" spans="1:9" x14ac:dyDescent="0.3">
      <c r="A46" s="18"/>
      <c r="G46" s="23"/>
      <c r="H46" s="20"/>
      <c r="I46" s="20"/>
    </row>
    <row r="47" spans="1:9" x14ac:dyDescent="0.3">
      <c r="A47" s="18"/>
      <c r="G47" s="23"/>
      <c r="H47" s="20"/>
      <c r="I47" s="20"/>
    </row>
    <row r="48" spans="1:9" x14ac:dyDescent="0.3">
      <c r="A48" s="18"/>
      <c r="G48" s="23"/>
      <c r="H48" s="20"/>
      <c r="I48" s="20"/>
    </row>
    <row r="49" spans="1:9" x14ac:dyDescent="0.3">
      <c r="A49" s="18"/>
      <c r="G49" s="23"/>
      <c r="H49" s="20"/>
      <c r="I49" s="20"/>
    </row>
    <row r="50" spans="1:9" x14ac:dyDescent="0.3">
      <c r="A50" s="18"/>
      <c r="G50" s="23"/>
      <c r="H50" s="20"/>
      <c r="I50" s="20"/>
    </row>
    <row r="51" spans="1:9" x14ac:dyDescent="0.3">
      <c r="A51" s="18"/>
      <c r="G51" s="23"/>
      <c r="H51" s="20"/>
      <c r="I51" s="20"/>
    </row>
    <row r="52" spans="1:9" x14ac:dyDescent="0.3">
      <c r="A52" s="18"/>
      <c r="G52" s="23"/>
      <c r="H52" s="20"/>
      <c r="I52" s="20"/>
    </row>
    <row r="53" spans="1:9" x14ac:dyDescent="0.3">
      <c r="A53" s="18"/>
      <c r="G53" s="23"/>
      <c r="H53" s="20"/>
      <c r="I53" s="20"/>
    </row>
    <row r="54" spans="1:9" x14ac:dyDescent="0.3">
      <c r="A54" s="18"/>
      <c r="G54" s="23"/>
      <c r="H54" s="20"/>
      <c r="I54" s="20"/>
    </row>
    <row r="55" spans="1:9" x14ac:dyDescent="0.3">
      <c r="A55" s="18"/>
      <c r="G55" s="23"/>
      <c r="H55" s="20"/>
      <c r="I55" s="20"/>
    </row>
    <row r="56" spans="1:9" x14ac:dyDescent="0.3">
      <c r="A56" s="18"/>
      <c r="G56" s="23"/>
      <c r="H56" s="20"/>
      <c r="I56" s="20"/>
    </row>
    <row r="57" spans="1:9" x14ac:dyDescent="0.3">
      <c r="A57" s="18"/>
      <c r="G57" s="23"/>
      <c r="H57" s="20"/>
      <c r="I57" s="20"/>
    </row>
    <row r="58" spans="1:9" x14ac:dyDescent="0.3">
      <c r="A58" s="18"/>
      <c r="G58" s="23"/>
      <c r="H58" s="20"/>
      <c r="I58" s="20"/>
    </row>
    <row r="59" spans="1:9" x14ac:dyDescent="0.3">
      <c r="A59" s="18"/>
      <c r="G59" s="23"/>
      <c r="H59" s="20"/>
      <c r="I59" s="20"/>
    </row>
    <row r="60" spans="1:9" x14ac:dyDescent="0.3">
      <c r="A60" s="18"/>
      <c r="G60" s="23"/>
      <c r="H60" s="20"/>
      <c r="I60" s="20"/>
    </row>
    <row r="61" spans="1:9" x14ac:dyDescent="0.3">
      <c r="A61" s="18"/>
      <c r="G61" s="23"/>
      <c r="H61" s="20"/>
      <c r="I61" s="20"/>
    </row>
    <row r="62" spans="1:9" x14ac:dyDescent="0.3">
      <c r="A62" s="18"/>
      <c r="G62" s="23"/>
      <c r="H62" s="20"/>
      <c r="I62" s="20"/>
    </row>
    <row r="63" spans="1:9" x14ac:dyDescent="0.3">
      <c r="A63" s="18"/>
      <c r="G63" s="23"/>
      <c r="H63" s="20"/>
      <c r="I63" s="20"/>
    </row>
    <row r="64" spans="1:9" x14ac:dyDescent="0.3">
      <c r="A64" s="18"/>
      <c r="G64" s="23"/>
      <c r="H64" s="20"/>
      <c r="I64" s="20"/>
    </row>
    <row r="65" spans="1:9" x14ac:dyDescent="0.3">
      <c r="A65" s="18"/>
      <c r="G65" s="23"/>
      <c r="H65" s="20"/>
      <c r="I65" s="20"/>
    </row>
    <row r="66" spans="1:9" x14ac:dyDescent="0.3">
      <c r="A66" s="18"/>
      <c r="G66" s="23"/>
      <c r="H66" s="20"/>
      <c r="I66" s="20"/>
    </row>
    <row r="67" spans="1:9" x14ac:dyDescent="0.3">
      <c r="A67" s="18"/>
      <c r="G67" s="23"/>
      <c r="H67" s="20"/>
      <c r="I67" s="20"/>
    </row>
    <row r="68" spans="1:9" x14ac:dyDescent="0.3">
      <c r="A68" s="18"/>
      <c r="G68" s="23"/>
      <c r="H68" s="20"/>
      <c r="I68" s="20"/>
    </row>
    <row r="69" spans="1:9" x14ac:dyDescent="0.3">
      <c r="A69" s="18"/>
      <c r="G69" s="23"/>
      <c r="H69" s="20"/>
      <c r="I69" s="20"/>
    </row>
    <row r="70" spans="1:9" x14ac:dyDescent="0.3">
      <c r="A70" s="18"/>
      <c r="G70" s="23"/>
      <c r="H70" s="20"/>
      <c r="I70" s="20"/>
    </row>
    <row r="71" spans="1:9" x14ac:dyDescent="0.3">
      <c r="A71" s="18"/>
      <c r="G71" s="23"/>
      <c r="H71" s="20"/>
      <c r="I71" s="20"/>
    </row>
    <row r="72" spans="1:9" x14ac:dyDescent="0.3">
      <c r="A72" s="18"/>
      <c r="G72" s="23"/>
      <c r="H72" s="20"/>
      <c r="I72" s="20"/>
    </row>
    <row r="73" spans="1:9" x14ac:dyDescent="0.3">
      <c r="A73" s="18"/>
      <c r="G73" s="23"/>
      <c r="H73" s="20"/>
      <c r="I73" s="20"/>
    </row>
    <row r="74" spans="1:9" x14ac:dyDescent="0.3">
      <c r="A74" s="18"/>
      <c r="G74" s="23"/>
      <c r="H74" s="20"/>
      <c r="I74" s="20"/>
    </row>
    <row r="75" spans="1:9" x14ac:dyDescent="0.3">
      <c r="A75" s="18"/>
      <c r="G75" s="23"/>
      <c r="H75" s="20"/>
      <c r="I75" s="20"/>
    </row>
    <row r="76" spans="1:9" x14ac:dyDescent="0.3">
      <c r="A76" s="18"/>
      <c r="G76" s="23"/>
      <c r="H76" s="20"/>
      <c r="I76" s="20"/>
    </row>
    <row r="77" spans="1:9" x14ac:dyDescent="0.3">
      <c r="A77" s="18"/>
      <c r="G77" s="23"/>
      <c r="H77" s="20"/>
      <c r="I77" s="20"/>
    </row>
    <row r="78" spans="1:9" x14ac:dyDescent="0.3">
      <c r="A78" s="18"/>
      <c r="G78" s="23"/>
      <c r="H78" s="20"/>
      <c r="I78" s="20"/>
    </row>
    <row r="79" spans="1:9" x14ac:dyDescent="0.3">
      <c r="A79" s="18"/>
      <c r="G79" s="23"/>
      <c r="H79" s="20"/>
      <c r="I79" s="20"/>
    </row>
    <row r="80" spans="1:9" x14ac:dyDescent="0.3">
      <c r="A80" s="18"/>
      <c r="G80" s="23"/>
      <c r="H80" s="20"/>
      <c r="I80" s="20"/>
    </row>
    <row r="81" spans="1:9" x14ac:dyDescent="0.3">
      <c r="A81" s="18"/>
      <c r="G81" s="23"/>
      <c r="H81" s="20"/>
      <c r="I81" s="20"/>
    </row>
    <row r="82" spans="1:9" x14ac:dyDescent="0.3">
      <c r="A82" s="18"/>
      <c r="G82" s="23"/>
      <c r="H82" s="20"/>
      <c r="I82" s="20"/>
    </row>
    <row r="83" spans="1:9" x14ac:dyDescent="0.3">
      <c r="A83" s="18"/>
      <c r="G83" s="23"/>
      <c r="H83" s="20"/>
      <c r="I83" s="20"/>
    </row>
    <row r="84" spans="1:9" x14ac:dyDescent="0.3">
      <c r="A84" s="18"/>
      <c r="G84" s="23"/>
      <c r="H84" s="20"/>
      <c r="I84" s="20"/>
    </row>
    <row r="85" spans="1:9" x14ac:dyDescent="0.3">
      <c r="A85" s="18"/>
      <c r="G85" s="23"/>
      <c r="H85" s="20"/>
      <c r="I85" s="20"/>
    </row>
    <row r="86" spans="1:9" x14ac:dyDescent="0.3">
      <c r="A86" s="18"/>
      <c r="G86" s="23"/>
      <c r="H86" s="20"/>
      <c r="I86" s="20"/>
    </row>
    <row r="87" spans="1:9" x14ac:dyDescent="0.3">
      <c r="A87" s="18"/>
      <c r="G87" s="23"/>
      <c r="H87" s="20"/>
      <c r="I87" s="20"/>
    </row>
    <row r="88" spans="1:9" x14ac:dyDescent="0.3">
      <c r="A88" s="18"/>
      <c r="G88" s="23"/>
      <c r="H88" s="20"/>
      <c r="I88" s="20"/>
    </row>
    <row r="89" spans="1:9" x14ac:dyDescent="0.3">
      <c r="A89" s="18"/>
      <c r="G89" s="23"/>
      <c r="H89" s="20"/>
      <c r="I89" s="20"/>
    </row>
    <row r="90" spans="1:9" x14ac:dyDescent="0.3">
      <c r="A90" s="18"/>
      <c r="G90" s="23"/>
      <c r="H90" s="20"/>
      <c r="I90" s="20"/>
    </row>
    <row r="91" spans="1:9" x14ac:dyDescent="0.3">
      <c r="A91" s="18"/>
      <c r="G91" s="23"/>
      <c r="H91" s="20"/>
      <c r="I91" s="20"/>
    </row>
    <row r="92" spans="1:9" x14ac:dyDescent="0.3">
      <c r="A92" s="18"/>
      <c r="G92" s="23"/>
      <c r="H92" s="20"/>
      <c r="I92" s="20"/>
    </row>
    <row r="93" spans="1:9" x14ac:dyDescent="0.3">
      <c r="A93" s="18"/>
      <c r="G93" s="23"/>
      <c r="H93" s="20"/>
      <c r="I93" s="20"/>
    </row>
    <row r="94" spans="1:9" x14ac:dyDescent="0.3">
      <c r="A94" s="18"/>
      <c r="G94" s="23"/>
      <c r="H94" s="20"/>
      <c r="I94" s="20"/>
    </row>
    <row r="95" spans="1:9" x14ac:dyDescent="0.3">
      <c r="A95" s="18"/>
      <c r="G95" s="23"/>
      <c r="H95" s="20"/>
      <c r="I95" s="20"/>
    </row>
    <row r="96" spans="1:9" x14ac:dyDescent="0.3">
      <c r="A96" s="18"/>
      <c r="G96" s="23"/>
      <c r="H96" s="20"/>
      <c r="I96" s="20"/>
    </row>
    <row r="97" spans="1:9" x14ac:dyDescent="0.3">
      <c r="A97" s="18"/>
      <c r="G97" s="23"/>
      <c r="H97" s="20"/>
      <c r="I97" s="20"/>
    </row>
    <row r="98" spans="1:9" x14ac:dyDescent="0.3">
      <c r="A98" s="18"/>
      <c r="G98" s="23"/>
      <c r="H98" s="20"/>
      <c r="I98" s="20"/>
    </row>
    <row r="99" spans="1:9" x14ac:dyDescent="0.3">
      <c r="A99" s="18"/>
      <c r="G99" s="23"/>
      <c r="H99" s="20"/>
      <c r="I99" s="20"/>
    </row>
    <row r="100" spans="1:9" x14ac:dyDescent="0.3">
      <c r="A100" s="18"/>
      <c r="G100" s="23"/>
      <c r="H100" s="20"/>
      <c r="I100" s="20"/>
    </row>
    <row r="101" spans="1:9" x14ac:dyDescent="0.3">
      <c r="A101" s="18"/>
      <c r="G101" s="23"/>
      <c r="H101" s="20"/>
      <c r="I101" s="20"/>
    </row>
    <row r="102" spans="1:9" x14ac:dyDescent="0.3">
      <c r="A102" s="18"/>
      <c r="G102" s="23"/>
      <c r="H102" s="20"/>
      <c r="I102" s="20"/>
    </row>
    <row r="103" spans="1:9" x14ac:dyDescent="0.3">
      <c r="A103" s="18"/>
      <c r="G103" s="23"/>
      <c r="H103" s="20"/>
      <c r="I103" s="20"/>
    </row>
    <row r="104" spans="1:9" x14ac:dyDescent="0.3">
      <c r="A104" s="18"/>
      <c r="G104" s="23"/>
      <c r="H104" s="20"/>
      <c r="I104" s="20"/>
    </row>
    <row r="105" spans="1:9" x14ac:dyDescent="0.3">
      <c r="A105" s="18"/>
      <c r="G105" s="23"/>
      <c r="H105" s="20"/>
      <c r="I105" s="20"/>
    </row>
    <row r="106" spans="1:9" x14ac:dyDescent="0.3">
      <c r="A106" s="18"/>
      <c r="G106" s="23"/>
      <c r="H106" s="20"/>
      <c r="I106" s="20"/>
    </row>
    <row r="107" spans="1:9" x14ac:dyDescent="0.3">
      <c r="A107" s="18"/>
      <c r="G107" s="23"/>
      <c r="H107" s="20"/>
      <c r="I107" s="20"/>
    </row>
    <row r="108" spans="1:9" x14ac:dyDescent="0.3">
      <c r="A108" s="18"/>
      <c r="G108" s="23"/>
      <c r="H108" s="20"/>
      <c r="I108" s="20"/>
    </row>
    <row r="109" spans="1:9" x14ac:dyDescent="0.3">
      <c r="A109" s="18"/>
      <c r="G109" s="23"/>
      <c r="H109" s="20"/>
      <c r="I109" s="20"/>
    </row>
    <row r="110" spans="1:9" x14ac:dyDescent="0.3">
      <c r="A110" s="18"/>
      <c r="G110" s="23"/>
      <c r="H110" s="20"/>
      <c r="I110" s="20"/>
    </row>
    <row r="111" spans="1:9" x14ac:dyDescent="0.3">
      <c r="A111" s="18"/>
      <c r="G111" s="23"/>
      <c r="H111" s="20"/>
      <c r="I111" s="20"/>
    </row>
    <row r="112" spans="1:9" x14ac:dyDescent="0.3">
      <c r="A112" s="18"/>
      <c r="G112" s="23"/>
      <c r="H112" s="20"/>
      <c r="I112" s="20"/>
    </row>
    <row r="113" spans="1:9" x14ac:dyDescent="0.3">
      <c r="A113" s="18"/>
      <c r="G113" s="23"/>
      <c r="H113" s="20"/>
      <c r="I113" s="20"/>
    </row>
    <row r="114" spans="1:9" x14ac:dyDescent="0.3">
      <c r="A114" s="18"/>
      <c r="G114" s="23"/>
      <c r="H114" s="20"/>
      <c r="I114" s="20"/>
    </row>
    <row r="115" spans="1:9" x14ac:dyDescent="0.3">
      <c r="A115" s="18"/>
      <c r="G115" s="23"/>
      <c r="H115" s="20"/>
      <c r="I115" s="20"/>
    </row>
    <row r="116" spans="1:9" x14ac:dyDescent="0.3">
      <c r="A116" s="18"/>
      <c r="G116" s="23"/>
      <c r="H116" s="20"/>
      <c r="I116" s="20"/>
    </row>
    <row r="117" spans="1:9" x14ac:dyDescent="0.3">
      <c r="A117" s="18"/>
      <c r="G117" s="23"/>
      <c r="H117" s="20"/>
      <c r="I117" s="20"/>
    </row>
    <row r="118" spans="1:9" x14ac:dyDescent="0.3">
      <c r="A118" s="18"/>
      <c r="G118" s="23"/>
      <c r="H118" s="20"/>
      <c r="I118" s="20"/>
    </row>
    <row r="119" spans="1:9" x14ac:dyDescent="0.3">
      <c r="A119" s="18"/>
      <c r="G119" s="23"/>
      <c r="H119" s="20"/>
      <c r="I119" s="20"/>
    </row>
    <row r="120" spans="1:9" x14ac:dyDescent="0.3">
      <c r="A120" s="18"/>
      <c r="G120" s="23"/>
      <c r="H120" s="20"/>
      <c r="I120" s="20"/>
    </row>
    <row r="121" spans="1:9" x14ac:dyDescent="0.3">
      <c r="A121" s="18"/>
      <c r="G121" s="23"/>
      <c r="H121" s="20"/>
      <c r="I121" s="20"/>
    </row>
    <row r="122" spans="1:9" x14ac:dyDescent="0.3">
      <c r="A122" s="18"/>
      <c r="G122" s="23"/>
      <c r="H122" s="20"/>
      <c r="I122" s="20"/>
    </row>
    <row r="123" spans="1:9" x14ac:dyDescent="0.3">
      <c r="A123" s="18"/>
      <c r="G123" s="23"/>
      <c r="H123" s="20"/>
      <c r="I123" s="20"/>
    </row>
    <row r="124" spans="1:9" x14ac:dyDescent="0.3">
      <c r="A124" s="18"/>
      <c r="G124" s="23"/>
      <c r="H124" s="20"/>
      <c r="I124" s="20"/>
    </row>
    <row r="125" spans="1:9" x14ac:dyDescent="0.3">
      <c r="A125" s="18"/>
      <c r="G125" s="23"/>
      <c r="H125" s="20"/>
      <c r="I125" s="20"/>
    </row>
    <row r="126" spans="1:9" x14ac:dyDescent="0.3">
      <c r="A126" s="18"/>
      <c r="G126" s="23"/>
      <c r="H126" s="20"/>
      <c r="I126" s="20"/>
    </row>
    <row r="127" spans="1:9" x14ac:dyDescent="0.3">
      <c r="A127" s="18"/>
      <c r="G127" s="23"/>
      <c r="H127" s="20"/>
      <c r="I127" s="20"/>
    </row>
    <row r="128" spans="1:9" x14ac:dyDescent="0.3">
      <c r="A128" s="18"/>
      <c r="G128" s="23"/>
      <c r="H128" s="20"/>
      <c r="I128" s="20"/>
    </row>
    <row r="129" spans="1:9" x14ac:dyDescent="0.3">
      <c r="A129" s="18"/>
      <c r="G129" s="23"/>
      <c r="H129" s="20"/>
      <c r="I129" s="20"/>
    </row>
    <row r="130" spans="1:9" x14ac:dyDescent="0.3">
      <c r="A130" s="18"/>
      <c r="G130" s="23"/>
      <c r="H130" s="20"/>
      <c r="I130" s="20"/>
    </row>
    <row r="131" spans="1:9" x14ac:dyDescent="0.3">
      <c r="A131" s="18"/>
      <c r="G131" s="23"/>
      <c r="H131" s="20"/>
      <c r="I131" s="20"/>
    </row>
    <row r="132" spans="1:9" x14ac:dyDescent="0.3">
      <c r="A132" s="18"/>
      <c r="G132" s="23"/>
      <c r="H132" s="20"/>
      <c r="I132" s="20"/>
    </row>
    <row r="133" spans="1:9" x14ac:dyDescent="0.3">
      <c r="A133" s="18"/>
      <c r="G133" s="23"/>
      <c r="H133" s="20"/>
      <c r="I133" s="20"/>
    </row>
    <row r="134" spans="1:9" x14ac:dyDescent="0.3">
      <c r="A134" s="18"/>
      <c r="G134" s="23"/>
      <c r="H134" s="20"/>
      <c r="I134" s="20"/>
    </row>
    <row r="135" spans="1:9" x14ac:dyDescent="0.3">
      <c r="A135" s="18"/>
      <c r="G135" s="23"/>
      <c r="H135" s="20"/>
      <c r="I135" s="20"/>
    </row>
    <row r="136" spans="1:9" x14ac:dyDescent="0.3">
      <c r="A136" s="18"/>
      <c r="G136" s="23"/>
      <c r="H136" s="20"/>
      <c r="I136" s="20"/>
    </row>
    <row r="137" spans="1:9" x14ac:dyDescent="0.3">
      <c r="A137" s="18"/>
      <c r="G137" s="23"/>
      <c r="H137" s="20"/>
      <c r="I137" s="20"/>
    </row>
    <row r="138" spans="1:9" x14ac:dyDescent="0.3">
      <c r="A138" s="18"/>
      <c r="G138" s="23"/>
      <c r="H138" s="20"/>
      <c r="I138" s="20"/>
    </row>
    <row r="139" spans="1:9" x14ac:dyDescent="0.3">
      <c r="A139" s="18"/>
      <c r="G139" s="23"/>
      <c r="H139" s="20"/>
      <c r="I139" s="20"/>
    </row>
    <row r="140" spans="1:9" x14ac:dyDescent="0.3">
      <c r="A140" s="18"/>
      <c r="G140" s="23"/>
      <c r="H140" s="20"/>
      <c r="I140" s="20"/>
    </row>
    <row r="141" spans="1:9" x14ac:dyDescent="0.3">
      <c r="A141" s="18"/>
      <c r="G141" s="23"/>
      <c r="H141" s="20"/>
      <c r="I141" s="20"/>
    </row>
    <row r="142" spans="1:9" x14ac:dyDescent="0.3">
      <c r="A142" s="18"/>
      <c r="G142" s="23"/>
      <c r="H142" s="20"/>
      <c r="I142" s="20"/>
    </row>
    <row r="143" spans="1:9" x14ac:dyDescent="0.3">
      <c r="A143" s="18"/>
      <c r="G143" s="23"/>
      <c r="H143" s="20"/>
      <c r="I143" s="20"/>
    </row>
    <row r="144" spans="1:9" x14ac:dyDescent="0.3">
      <c r="A144" s="18"/>
      <c r="G144" s="23"/>
      <c r="H144" s="20"/>
      <c r="I144" s="20"/>
    </row>
    <row r="145" spans="1:9" x14ac:dyDescent="0.3">
      <c r="A145" s="18"/>
      <c r="G145" s="23"/>
      <c r="H145" s="20"/>
      <c r="I145" s="20"/>
    </row>
    <row r="146" spans="1:9" x14ac:dyDescent="0.3">
      <c r="A146" s="18"/>
      <c r="G146" s="23"/>
      <c r="H146" s="20"/>
      <c r="I146" s="20"/>
    </row>
    <row r="147" spans="1:9" x14ac:dyDescent="0.3">
      <c r="A147" s="18"/>
      <c r="G147" s="23"/>
      <c r="H147" s="20"/>
      <c r="I147" s="20"/>
    </row>
    <row r="148" spans="1:9" x14ac:dyDescent="0.3">
      <c r="A148" s="18"/>
      <c r="G148" s="23"/>
      <c r="H148" s="20"/>
      <c r="I148" s="20"/>
    </row>
    <row r="149" spans="1:9" x14ac:dyDescent="0.3">
      <c r="A149" s="18"/>
      <c r="G149" s="23"/>
      <c r="H149" s="20"/>
      <c r="I149" s="20"/>
    </row>
    <row r="150" spans="1:9" x14ac:dyDescent="0.3">
      <c r="A150" s="18"/>
      <c r="G150" s="23"/>
      <c r="H150" s="20"/>
      <c r="I150" s="20"/>
    </row>
    <row r="151" spans="1:9" x14ac:dyDescent="0.3">
      <c r="A151" s="18"/>
      <c r="G151" s="23"/>
      <c r="H151" s="20"/>
      <c r="I151" s="20"/>
    </row>
    <row r="152" spans="1:9" x14ac:dyDescent="0.3">
      <c r="A152" s="18"/>
      <c r="G152" s="23"/>
      <c r="H152" s="20"/>
      <c r="I152" s="20"/>
    </row>
    <row r="153" spans="1:9" x14ac:dyDescent="0.3">
      <c r="A153" s="18"/>
      <c r="G153" s="23"/>
      <c r="H153" s="20"/>
      <c r="I153" s="20"/>
    </row>
    <row r="154" spans="1:9" x14ac:dyDescent="0.3">
      <c r="A154" s="18"/>
      <c r="G154" s="23"/>
      <c r="H154" s="20"/>
      <c r="I154" s="20"/>
    </row>
    <row r="155" spans="1:9" x14ac:dyDescent="0.3">
      <c r="A155" s="18"/>
      <c r="G155" s="23"/>
      <c r="H155" s="20"/>
      <c r="I155" s="20"/>
    </row>
    <row r="156" spans="1:9" x14ac:dyDescent="0.3">
      <c r="A156" s="18"/>
      <c r="G156" s="23"/>
      <c r="H156" s="20"/>
      <c r="I156" s="20"/>
    </row>
    <row r="157" spans="1:9" x14ac:dyDescent="0.3">
      <c r="A157" s="18"/>
      <c r="G157" s="23"/>
      <c r="H157" s="20"/>
      <c r="I157" s="20"/>
    </row>
    <row r="158" spans="1:9" x14ac:dyDescent="0.3">
      <c r="A158" s="18"/>
      <c r="G158" s="23"/>
      <c r="H158" s="20"/>
      <c r="I158" s="20"/>
    </row>
    <row r="159" spans="1:9" x14ac:dyDescent="0.3">
      <c r="A159" s="18"/>
      <c r="G159" s="23"/>
      <c r="H159" s="20"/>
      <c r="I159" s="20"/>
    </row>
    <row r="160" spans="1:9" x14ac:dyDescent="0.3">
      <c r="A160" s="18"/>
      <c r="G160" s="23"/>
      <c r="H160" s="20"/>
      <c r="I160" s="20"/>
    </row>
    <row r="161" spans="1:9" x14ac:dyDescent="0.3">
      <c r="A161" s="18"/>
      <c r="G161" s="23"/>
      <c r="H161" s="20"/>
      <c r="I161" s="20"/>
    </row>
    <row r="162" spans="1:9" x14ac:dyDescent="0.3">
      <c r="A162" s="18"/>
      <c r="G162" s="23"/>
      <c r="H162" s="20"/>
      <c r="I162" s="20"/>
    </row>
    <row r="163" spans="1:9" x14ac:dyDescent="0.3">
      <c r="A163" s="18"/>
      <c r="G163" s="23"/>
      <c r="H163" s="20"/>
      <c r="I163" s="20"/>
    </row>
    <row r="164" spans="1:9" x14ac:dyDescent="0.3">
      <c r="A164" s="18"/>
      <c r="G164" s="23"/>
      <c r="H164" s="20"/>
      <c r="I164" s="20"/>
    </row>
    <row r="165" spans="1:9" x14ac:dyDescent="0.3">
      <c r="A165" s="18"/>
      <c r="G165" s="23"/>
      <c r="H165" s="20"/>
      <c r="I165" s="20"/>
    </row>
    <row r="166" spans="1:9" x14ac:dyDescent="0.3">
      <c r="A166" s="18"/>
      <c r="G166" s="23"/>
      <c r="H166" s="20"/>
      <c r="I166" s="20"/>
    </row>
    <row r="167" spans="1:9" x14ac:dyDescent="0.3">
      <c r="A167" s="18"/>
      <c r="G167" s="23"/>
      <c r="H167" s="20"/>
      <c r="I167" s="20"/>
    </row>
    <row r="168" spans="1:9" x14ac:dyDescent="0.3">
      <c r="A168" s="18"/>
      <c r="G168" s="23"/>
      <c r="H168" s="20"/>
      <c r="I168" s="20"/>
    </row>
    <row r="169" spans="1:9" x14ac:dyDescent="0.3">
      <c r="A169" s="18"/>
      <c r="G169" s="23"/>
      <c r="H169" s="20"/>
      <c r="I169" s="20"/>
    </row>
    <row r="170" spans="1:9" x14ac:dyDescent="0.3">
      <c r="A170" s="18"/>
      <c r="G170" s="23"/>
      <c r="H170" s="20"/>
      <c r="I170" s="20"/>
    </row>
    <row r="171" spans="1:9" x14ac:dyDescent="0.3">
      <c r="A171" s="18"/>
      <c r="G171" s="23"/>
      <c r="H171" s="20"/>
      <c r="I171" s="20"/>
    </row>
    <row r="172" spans="1:9" x14ac:dyDescent="0.3">
      <c r="A172" s="18"/>
      <c r="G172" s="23"/>
      <c r="H172" s="20"/>
      <c r="I172" s="20"/>
    </row>
    <row r="173" spans="1:9" x14ac:dyDescent="0.3">
      <c r="A173" s="18"/>
      <c r="G173" s="23"/>
      <c r="H173" s="20"/>
      <c r="I173" s="20"/>
    </row>
    <row r="174" spans="1:9" x14ac:dyDescent="0.3">
      <c r="A174" s="18"/>
      <c r="G174" s="23"/>
      <c r="H174" s="20"/>
      <c r="I174" s="20"/>
    </row>
    <row r="175" spans="1:9" x14ac:dyDescent="0.3">
      <c r="A175" s="18"/>
      <c r="G175" s="23"/>
      <c r="H175" s="20"/>
      <c r="I175" s="20"/>
    </row>
    <row r="176" spans="1:9" x14ac:dyDescent="0.3">
      <c r="A176" s="18"/>
      <c r="G176" s="23"/>
      <c r="H176" s="20"/>
      <c r="I176" s="20"/>
    </row>
    <row r="177" spans="1:9" x14ac:dyDescent="0.3">
      <c r="A177" s="18"/>
      <c r="G177" s="23"/>
      <c r="H177" s="20"/>
      <c r="I177" s="20"/>
    </row>
    <row r="178" spans="1:9" x14ac:dyDescent="0.3">
      <c r="A178" s="18"/>
      <c r="G178" s="23"/>
      <c r="H178" s="20"/>
      <c r="I178" s="20"/>
    </row>
    <row r="179" spans="1:9" x14ac:dyDescent="0.3">
      <c r="A179" s="18"/>
      <c r="G179" s="23"/>
      <c r="H179" s="20"/>
      <c r="I179" s="20"/>
    </row>
    <row r="180" spans="1:9" x14ac:dyDescent="0.3">
      <c r="A180" s="18"/>
      <c r="G180" s="23"/>
      <c r="H180" s="20"/>
      <c r="I180" s="20"/>
    </row>
    <row r="181" spans="1:9" x14ac:dyDescent="0.3">
      <c r="A181" s="18"/>
      <c r="G181" s="23"/>
      <c r="H181" s="20"/>
      <c r="I181" s="20"/>
    </row>
    <row r="182" spans="1:9" x14ac:dyDescent="0.3">
      <c r="A182" s="18"/>
      <c r="G182" s="23"/>
      <c r="H182" s="20"/>
      <c r="I182" s="20"/>
    </row>
    <row r="183" spans="1:9" x14ac:dyDescent="0.3">
      <c r="A183" s="18"/>
      <c r="G183" s="23"/>
      <c r="H183" s="20"/>
      <c r="I183" s="20"/>
    </row>
    <row r="184" spans="1:9" x14ac:dyDescent="0.3">
      <c r="A184" s="18"/>
      <c r="G184" s="23"/>
      <c r="H184" s="20"/>
      <c r="I184" s="20"/>
    </row>
    <row r="185" spans="1:9" x14ac:dyDescent="0.3">
      <c r="A185" s="18"/>
      <c r="G185" s="23"/>
      <c r="H185" s="20"/>
      <c r="I185" s="20"/>
    </row>
  </sheetData>
  <phoneticPr fontId="2" type="noConversion"/>
  <conditionalFormatting sqref="F1:F3 A37:A170 A35:D35 B38:E55 A56:E185 A36:E37 F35:F1048576 A18:F34 A10:E17 A8:F9">
    <cfRule type="expression" dxfId="17" priority="238">
      <formula>#REF!="밑줄"</formula>
    </cfRule>
  </conditionalFormatting>
  <conditionalFormatting sqref="A5:A185 B5:C5 E5:I5">
    <cfRule type="beginsWith" dxfId="16" priority="24" operator="beginsWith" text="0">
      <formula>LEFT(A5,LEN("0"))="0"</formula>
    </cfRule>
  </conditionalFormatting>
  <conditionalFormatting sqref="A5">
    <cfRule type="beginsWith" dxfId="15" priority="20" operator="beginsWith" text="0">
      <formula>LEFT(A5,LEN("0"))="0"</formula>
    </cfRule>
  </conditionalFormatting>
  <conditionalFormatting sqref="F8:G8">
    <cfRule type="expression" dxfId="14" priority="5">
      <formula>#REF!="밑줄"</formula>
    </cfRule>
  </conditionalFormatting>
  <conditionalFormatting sqref="E35">
    <cfRule type="expression" dxfId="13" priority="4">
      <formula>#REF!="밑줄"</formula>
    </cfRule>
  </conditionalFormatting>
  <conditionalFormatting sqref="D5">
    <cfRule type="beginsWith" dxfId="12" priority="2" operator="beginsWith" text="0">
      <formula>LEFT(D5,LEN("0"))="0"</formula>
    </cfRule>
  </conditionalFormatting>
  <conditionalFormatting sqref="F10:F17">
    <cfRule type="expression" dxfId="11" priority="1">
      <formula>#REF!="밑줄"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B03F49-BB44-4A9A-8542-E42197F124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RouletteRewards</vt:lpstr>
      <vt:lpstr>ShopGold</vt:lpstr>
      <vt:lpstr>ShopPackage</vt:lpstr>
      <vt:lpstr>testData</vt:lpstr>
      <vt:lpstr>RouletteRewards!Label</vt:lpstr>
      <vt:lpstr>ShopGold!Label</vt:lpstr>
      <vt:lpstr>ShopPackage!Label</vt:lpstr>
      <vt:lpstr>testData!Label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seek</dc:creator>
  <cp:lastModifiedBy>김동호</cp:lastModifiedBy>
  <cp:lastPrinted>2024-05-30T06:20:03Z</cp:lastPrinted>
  <dcterms:created xsi:type="dcterms:W3CDTF">2006-09-16T00:00:00Z</dcterms:created>
  <dcterms:modified xsi:type="dcterms:W3CDTF">2025-06-01T09:19:04Z</dcterms:modified>
</cp:coreProperties>
</file>